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s\Downloads\JobAaj Project\Excel Project\EX02 Project\"/>
    </mc:Choice>
  </mc:AlternateContent>
  <xr:revisionPtr revIDLastSave="0" documentId="13_ncr:1_{C3EC1B0A-D09D-450B-9A76-036C3A4B514D}" xr6:coauthVersionLast="47" xr6:coauthVersionMax="47" xr10:uidLastSave="{00000000-0000-0000-0000-000000000000}"/>
  <bookViews>
    <workbookView xWindow="-108" yWindow="-108" windowWidth="23256" windowHeight="13896" tabRatio="644" activeTab="1" xr2:uid="{AD0C653B-9448-4883-87DF-82CDE2EDB333}"/>
  </bookViews>
  <sheets>
    <sheet name="Adecco HR Analytics" sheetId="1" r:id="rId1"/>
    <sheet name="Assignment Solutions" sheetId="2" r:id="rId2"/>
    <sheet name="Pivot Analysis" sheetId="4" r:id="rId3"/>
    <sheet name="Chart Analysis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4" l="1"/>
  <c r="E85" i="4"/>
  <c r="E84" i="4"/>
  <c r="E83" i="4"/>
  <c r="E82" i="4"/>
  <c r="E73" i="4"/>
  <c r="E72" i="4"/>
  <c r="E71" i="4"/>
  <c r="E70" i="4"/>
  <c r="E69" i="4"/>
  <c r="E68" i="4"/>
  <c r="E67" i="4"/>
  <c r="E66" i="4"/>
  <c r="E58" i="4"/>
  <c r="E57" i="4"/>
  <c r="E56" i="4"/>
  <c r="E55" i="4"/>
  <c r="E47" i="4"/>
  <c r="E46" i="4"/>
  <c r="E45" i="4"/>
  <c r="E44" i="4"/>
  <c r="E43" i="4"/>
  <c r="B31" i="2"/>
  <c r="B30" i="2"/>
  <c r="B29" i="2"/>
  <c r="B22" i="2"/>
  <c r="B21" i="2"/>
  <c r="B20" i="2"/>
  <c r="E35" i="4"/>
  <c r="E34" i="4"/>
  <c r="E33" i="4"/>
  <c r="B19" i="2"/>
  <c r="E9" i="4"/>
  <c r="E8" i="4"/>
  <c r="E7" i="4"/>
  <c r="E6" i="4"/>
  <c r="B11" i="2"/>
  <c r="B10" i="2"/>
  <c r="B9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</calcChain>
</file>

<file path=xl/sharedStrings.xml><?xml version="1.0" encoding="utf-8"?>
<sst xmlns="http://schemas.openxmlformats.org/spreadsheetml/2006/main" count="13388" uniqueCount="108">
  <si>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</si>
  <si>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</si>
  <si>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</si>
  <si>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</si>
  <si>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</si>
  <si>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</si>
  <si>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</si>
  <si>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</si>
  <si>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</si>
  <si>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</si>
  <si>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</si>
  <si>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</si>
  <si>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</si>
  <si>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</si>
  <si>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</si>
  <si>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</si>
  <si>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</si>
  <si>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</si>
  <si>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</si>
  <si>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</si>
  <si>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</si>
  <si>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</si>
  <si>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</si>
  <si>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</si>
  <si>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</si>
  <si>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</si>
  <si>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</si>
  <si>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</si>
  <si>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</si>
  <si>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</si>
  <si>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</si>
  <si>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</si>
  <si>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</si>
  <si>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</si>
  <si>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</si>
  <si>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</si>
  <si>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</si>
  <si>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</si>
  <si>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</si>
  <si>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</si>
  <si>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</si>
  <si>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</si>
  <si>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</si>
  <si>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</si>
  <si>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</si>
  <si>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</si>
  <si>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</si>
  <si>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</si>
  <si>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</si>
  <si>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</si>
  <si>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</si>
  <si>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</si>
  <si>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</si>
  <si>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</si>
  <si>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</si>
  <si>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</si>
  <si>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</si>
  <si>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</si>
  <si>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</si>
  <si>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</si>
  <si>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</si>
  <si>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</si>
  <si>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AttritionFlag</t>
  </si>
  <si>
    <t>Adecco HR Analytics — Excel End-to-End Assignment</t>
  </si>
  <si>
    <t>Basic-Level Questions (Excel-Oriented)</t>
  </si>
  <si>
    <t>1.1: Overall Attrition Rate</t>
  </si>
  <si>
    <t>Question</t>
  </si>
  <si>
    <t>Formula</t>
  </si>
  <si>
    <t>Count employees who left</t>
  </si>
  <si>
    <t>Count total employees</t>
  </si>
  <si>
    <t>Calculate attrition rate</t>
  </si>
  <si>
    <t>Meaning : The overall attrition rate is 16.12%, meaning approximately 16 out of every 100 employees have left the company.</t>
  </si>
  <si>
    <t>Basic Question 1.3 – 1.10</t>
  </si>
  <si>
    <t>1.3: Average age of employees who left</t>
  </si>
  <si>
    <t>1.6: Average monthly income of employees who left</t>
  </si>
  <si>
    <t>1.9: How many employees work overtime</t>
  </si>
  <si>
    <t>1.10: Average years at company</t>
  </si>
  <si>
    <t>Medium-Level Questions (Excel-Oriented)</t>
  </si>
  <si>
    <t>Meaning</t>
  </si>
  <si>
    <t>2.1: Top 3 factors correlated with attrition</t>
  </si>
  <si>
    <t>Age Correlated:</t>
  </si>
  <si>
    <t>These are the strongest absolute correlations among the numeric factors tested.</t>
  </si>
  <si>
    <t>MonthlyIncome Correlated:</t>
  </si>
  <si>
    <t>YearsAtCompany Correlated:</t>
  </si>
  <si>
    <t>Conclusion &amp; Actions</t>
  </si>
  <si>
    <t>• The main issue is employee attrition, with the case specifically highlighting junior sales employees.</t>
  </si>
  <si>
    <t>• Start retention work with the department showing the highest calculated attrition rate.</t>
  </si>
  <si>
    <t>• Review overtime, job satisfaction, job involvement, compensation, tenure and career progression together rather than relying on one metric.</t>
  </si>
  <si>
    <t>• Present the findings to HR and senior management and turn the strongest findings into targeted retention actions.</t>
  </si>
  <si>
    <t>1.2: Department-wise Attrition</t>
  </si>
  <si>
    <t>Grand Total</t>
  </si>
  <si>
    <t>Count of EmployeeNumber</t>
  </si>
  <si>
    <t>Attrition Rate</t>
  </si>
  <si>
    <t>1.4: Average Job Satisfaction by Job Role</t>
  </si>
  <si>
    <t>Average of JobSatisfaction</t>
  </si>
  <si>
    <t>1.5: Gender-wise Attrition</t>
  </si>
  <si>
    <t>1.7: Distance vs Attrition</t>
  </si>
  <si>
    <t>1.8: Performance Rating Distribution</t>
  </si>
  <si>
    <t>2.2: Attrition by Job Involvement</t>
  </si>
  <si>
    <t>2.3: Age vs Job Satisfaction</t>
  </si>
  <si>
    <t>2.4: Marital Status and Attrition</t>
  </si>
  <si>
    <t>2.5: Training and Attrition</t>
  </si>
  <si>
    <t>2.6: Work-Life Balance vs Performance</t>
  </si>
  <si>
    <t>2.7: Stock Options and Attrition</t>
  </si>
  <si>
    <t>2.8: Tenure vs Job Satisfaction</t>
  </si>
  <si>
    <t>2.9: Business Travel vs Job Satisfaction</t>
  </si>
  <si>
    <t>2.10: Years Since Last Promotion vs Performance</t>
  </si>
  <si>
    <t>• Use the correlation results as signals for further investigation, correlation alone does not prove that a factor causes attrition.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</si>
</sst>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4"/>
      <color theme="0"/>
      <name val="Aptos Narrow"/>
      <family val="2"/>
      <scheme val="minor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0" applyNumberFormat="1"/>
    <xf numFmtId="0" fontId="19" fillId="35" borderId="0" xfId="0" applyFont="1" applyFill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36" borderId="0" xfId="0" applyFont="1" applyFill="1"/>
    <xf numFmtId="0" fontId="16" fillId="36" borderId="10" xfId="0" applyFont="1" applyFill="1" applyBorder="1"/>
    <xf numFmtId="10" fontId="0" fillId="0" borderId="0" xfId="42" applyNumberFormat="1" applyFont="1"/>
    <xf numFmtId="10" fontId="16" fillId="36" borderId="11" xfId="42" applyNumberFormat="1" applyFont="1" applyFill="1" applyBorder="1"/>
    <xf numFmtId="164" fontId="0" fillId="0" borderId="0" xfId="0" applyNumberFormat="1"/>
    <xf numFmtId="2" fontId="0" fillId="0" borderId="0" xfId="0" applyNumberFormat="1"/>
    <xf numFmtId="0" fontId="22" fillId="3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18" fillId="33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0"/>
    </dxf>
    <dxf>
      <numFmt numFmtId="164" formatCode="0.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baseline="0">
                <a:solidFill>
                  <a:sysClr val="windowText" lastClr="000000"/>
                </a:solidFill>
              </a:rPr>
              <a:t>DistanceFromHome vs AttritionFlag</a:t>
            </a:r>
          </a:p>
        </c:rich>
      </c:tx>
      <c:layout>
        <c:manualLayout>
          <c:xMode val="edge"/>
          <c:yMode val="edge"/>
          <c:x val="0.2670428447864471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02887139107608E-2"/>
          <c:y val="0.17634259259259263"/>
          <c:w val="0.87883223972003499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'Adecco HR Analytics'!$G$1</c:f>
              <c:strCache>
                <c:ptCount val="1"/>
                <c:pt idx="0">
                  <c:v>DistanceFromHome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'Adecco HR Analytics'!$C$2:$C$1471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xVal>
          <c:yVal>
            <c:numRef>
              <c:f>'Adecco HR Analytics'!$G$2:$G$1471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36-43AA-83A1-3CAB56BF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850559"/>
        <c:axId val="212202799"/>
      </c:scatterChart>
      <c:valAx>
        <c:axId val="42885055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AttritionFlag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202799"/>
        <c:crosses val="autoZero"/>
        <c:crossBetween val="midCat"/>
      </c:valAx>
      <c:valAx>
        <c:axId val="2122027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DistanceFromHome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2885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Analytics.xlsx]Chart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Performance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2615923009624"/>
          <c:y val="0.14393518518518519"/>
          <c:w val="0.74527580927384074"/>
          <c:h val="0.70179024496937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2-4D80-A98E-A8F53E8C389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572-4D80-A98E-A8F53E8C3896}"/>
              </c:ext>
            </c:extLst>
          </c:dPt>
          <c:cat>
            <c:strRef>
              <c:f>'Chart Analysis'!$A$25:$A$27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'Chart Analysis'!$B$25:$B$27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2-4D80-A98E-A8F53E8C3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139839"/>
        <c:axId val="212156239"/>
      </c:barChart>
      <c:catAx>
        <c:axId val="51213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PerformanceRating </a:t>
                </a:r>
              </a:p>
            </c:rich>
          </c:tx>
          <c:layout>
            <c:manualLayout>
              <c:xMode val="edge"/>
              <c:yMode val="edge"/>
              <c:x val="0.4139203849518809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6239"/>
        <c:crosses val="autoZero"/>
        <c:auto val="1"/>
        <c:lblAlgn val="ctr"/>
        <c:lblOffset val="100"/>
        <c:noMultiLvlLbl val="0"/>
      </c:catAx>
      <c:valAx>
        <c:axId val="212156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Employees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7548993875765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3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Age vs 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'Adecco HR Analytics'!$R$1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'Adecco HR Analytics'!$A$2:$A$1471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'Adecco HR Analytics'!$R$2:$R$1471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31-4FA0-B3B4-1C6118769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11503"/>
        <c:axId val="212172559"/>
      </c:scatterChart>
      <c:valAx>
        <c:axId val="177541150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12172559"/>
        <c:crosses val="autoZero"/>
        <c:crossBetween val="midCat"/>
      </c:valAx>
      <c:valAx>
        <c:axId val="21217255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JobSatisfaction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7541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WorkLifeBalance vs PerformanceRating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'Adecco HR Analytics'!$AF$1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'Adecco HR Analytics'!$Z$2:$Z$1471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'Adecco HR Analytics'!$AF$2:$AF$1471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35-4184-92E7-91F11225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96879"/>
        <c:axId val="212138959"/>
      </c:scatterChart>
      <c:valAx>
        <c:axId val="17754968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PerformanceRating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138959"/>
        <c:crosses val="autoZero"/>
        <c:crossBetween val="midCat"/>
      </c:valAx>
      <c:valAx>
        <c:axId val="21213895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WorkLifeBalance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549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YearsAtCompany vs 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'Adecco HR Analytics'!$AG$1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'Adecco HR Analytics'!$R$2:$R$1471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'Adecco HR Analytics'!$AG$2:$AG$1471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C9-42F8-8B11-F12627396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501055"/>
        <c:axId val="212155759"/>
      </c:scatterChart>
      <c:valAx>
        <c:axId val="17755010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JobSatisfaction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155759"/>
        <c:crosses val="autoZero"/>
        <c:crossBetween val="midCat"/>
      </c:valAx>
      <c:valAx>
        <c:axId val="21215575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YearsAtCompany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550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YearsSinceLastPromotion vs PerformanceRating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'Adecco HR Analytics'!$AI$1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'Adecco HR Analytics'!$Z$2:$Z$1471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'Adecco HR Analytics'!$AI$2:$AI$1471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1A-4740-9314-606B4529E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40735"/>
        <c:axId val="212239759"/>
      </c:scatterChart>
      <c:valAx>
        <c:axId val="17754407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PerformanceRating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239759"/>
        <c:crosses val="autoZero"/>
        <c:crossBetween val="midCat"/>
      </c:valAx>
      <c:valAx>
        <c:axId val="21223975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YearsSinceLastPromotion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544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179070</xdr:rowOff>
    </xdr:from>
    <xdr:to>
      <xdr:col>6</xdr:col>
      <xdr:colOff>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A6B5F-2798-F36A-6E7E-E3EF4183D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179070</xdr:rowOff>
    </xdr:from>
    <xdr:to>
      <xdr:col>4</xdr:col>
      <xdr:colOff>426720</xdr:colOff>
      <xdr:row>42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B06A0-0FCF-0511-8B0A-16356802F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179070</xdr:rowOff>
    </xdr:from>
    <xdr:to>
      <xdr:col>4</xdr:col>
      <xdr:colOff>426720</xdr:colOff>
      <xdr:row>62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4FBCD-3DF9-0C88-B802-1F73E9655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67</xdr:row>
      <xdr:rowOff>179070</xdr:rowOff>
    </xdr:from>
    <xdr:to>
      <xdr:col>4</xdr:col>
      <xdr:colOff>426720</xdr:colOff>
      <xdr:row>82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62E2E-2DBC-16F8-6051-AA80E7191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87</xdr:row>
      <xdr:rowOff>179070</xdr:rowOff>
    </xdr:from>
    <xdr:to>
      <xdr:col>4</xdr:col>
      <xdr:colOff>426720</xdr:colOff>
      <xdr:row>102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3B4914-9055-1718-9255-29D64E2A3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107</xdr:row>
      <xdr:rowOff>179070</xdr:rowOff>
    </xdr:from>
    <xdr:to>
      <xdr:col>4</xdr:col>
      <xdr:colOff>426720</xdr:colOff>
      <xdr:row>122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CAA052-C04B-B2EA-71BE-EFF6B3F6C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 kumar" refreshedDate="46302.516827430554" createdVersion="8" refreshedVersion="8" minRefreshableVersion="3" recordCount="1470" xr:uid="{BBF0B73D-78FD-4952-B781-479A904DA2EF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Flag" numFmtId="0">
      <sharedItems containsSemiMixedTypes="0" containsString="0" containsNumber="1" containsInteger="1" minValue="0" maxValue="1"/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n v="1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x v="0"/>
    <n v="1"/>
    <n v="80"/>
    <x v="0"/>
    <n v="8"/>
    <x v="0"/>
    <n v="1"/>
    <n v="6"/>
    <n v="4"/>
    <n v="0"/>
    <n v="5"/>
  </r>
  <r>
    <n v="49"/>
    <x v="1"/>
    <n v="0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x v="1"/>
    <n v="4"/>
    <n v="80"/>
    <x v="1"/>
    <n v="10"/>
    <x v="1"/>
    <n v="3"/>
    <n v="10"/>
    <n v="7"/>
    <n v="1"/>
    <n v="7"/>
  </r>
  <r>
    <n v="37"/>
    <x v="0"/>
    <n v="1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x v="0"/>
    <n v="2"/>
    <n v="80"/>
    <x v="0"/>
    <n v="7"/>
    <x v="1"/>
    <n v="3"/>
    <n v="0"/>
    <n v="0"/>
    <n v="0"/>
    <n v="0"/>
  </r>
  <r>
    <n v="33"/>
    <x v="1"/>
    <n v="0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x v="0"/>
    <n v="3"/>
    <n v="80"/>
    <x v="0"/>
    <n v="8"/>
    <x v="1"/>
    <n v="3"/>
    <n v="8"/>
    <n v="7"/>
    <n v="3"/>
    <n v="0"/>
  </r>
  <r>
    <n v="27"/>
    <x v="1"/>
    <n v="0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x v="0"/>
    <n v="4"/>
    <n v="80"/>
    <x v="1"/>
    <n v="6"/>
    <x v="1"/>
    <n v="3"/>
    <n v="2"/>
    <n v="2"/>
    <n v="2"/>
    <n v="2"/>
  </r>
  <r>
    <n v="32"/>
    <x v="1"/>
    <n v="0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x v="0"/>
    <n v="3"/>
    <n v="80"/>
    <x v="0"/>
    <n v="8"/>
    <x v="2"/>
    <n v="2"/>
    <n v="7"/>
    <n v="7"/>
    <n v="3"/>
    <n v="6"/>
  </r>
  <r>
    <n v="59"/>
    <x v="1"/>
    <n v="0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x v="1"/>
    <n v="1"/>
    <n v="80"/>
    <x v="2"/>
    <n v="12"/>
    <x v="1"/>
    <n v="2"/>
    <n v="1"/>
    <n v="0"/>
    <n v="0"/>
    <n v="0"/>
  </r>
  <r>
    <n v="30"/>
    <x v="1"/>
    <n v="0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x v="1"/>
    <n v="2"/>
    <n v="80"/>
    <x v="1"/>
    <n v="1"/>
    <x v="2"/>
    <n v="3"/>
    <n v="1"/>
    <n v="0"/>
    <n v="0"/>
    <n v="0"/>
  </r>
  <r>
    <n v="38"/>
    <x v="1"/>
    <n v="0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x v="1"/>
    <n v="2"/>
    <n v="80"/>
    <x v="0"/>
    <n v="10"/>
    <x v="2"/>
    <n v="3"/>
    <n v="9"/>
    <n v="7"/>
    <n v="1"/>
    <n v="8"/>
  </r>
  <r>
    <n v="36"/>
    <x v="1"/>
    <n v="0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x v="0"/>
    <n v="2"/>
    <n v="80"/>
    <x v="3"/>
    <n v="17"/>
    <x v="1"/>
    <n v="2"/>
    <n v="7"/>
    <n v="7"/>
    <n v="7"/>
    <n v="7"/>
  </r>
  <r>
    <n v="35"/>
    <x v="1"/>
    <n v="0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x v="0"/>
    <n v="3"/>
    <n v="80"/>
    <x v="1"/>
    <n v="6"/>
    <x v="3"/>
    <n v="3"/>
    <n v="5"/>
    <n v="4"/>
    <n v="0"/>
    <n v="3"/>
  </r>
  <r>
    <n v="29"/>
    <x v="1"/>
    <n v="0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x v="0"/>
    <n v="4"/>
    <n v="80"/>
    <x v="0"/>
    <n v="10"/>
    <x v="1"/>
    <n v="3"/>
    <n v="9"/>
    <n v="5"/>
    <n v="0"/>
    <n v="8"/>
  </r>
  <r>
    <n v="31"/>
    <x v="1"/>
    <n v="0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x v="0"/>
    <n v="4"/>
    <n v="80"/>
    <x v="1"/>
    <n v="5"/>
    <x v="4"/>
    <n v="2"/>
    <n v="5"/>
    <n v="2"/>
    <n v="4"/>
    <n v="3"/>
  </r>
  <r>
    <n v="34"/>
    <x v="1"/>
    <n v="0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x v="0"/>
    <n v="3"/>
    <n v="80"/>
    <x v="1"/>
    <n v="3"/>
    <x v="2"/>
    <n v="3"/>
    <n v="2"/>
    <n v="2"/>
    <n v="1"/>
    <n v="2"/>
  </r>
  <r>
    <n v="28"/>
    <x v="0"/>
    <n v="1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x v="0"/>
    <n v="2"/>
    <n v="80"/>
    <x v="0"/>
    <n v="6"/>
    <x v="5"/>
    <n v="3"/>
    <n v="4"/>
    <n v="2"/>
    <n v="0"/>
    <n v="3"/>
  </r>
  <r>
    <n v="29"/>
    <x v="1"/>
    <n v="0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x v="0"/>
    <n v="3"/>
    <n v="80"/>
    <x v="1"/>
    <n v="10"/>
    <x v="4"/>
    <n v="3"/>
    <n v="10"/>
    <n v="9"/>
    <n v="8"/>
    <n v="8"/>
  </r>
  <r>
    <n v="32"/>
    <x v="1"/>
    <n v="0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x v="0"/>
    <n v="4"/>
    <n v="80"/>
    <x v="3"/>
    <n v="7"/>
    <x v="3"/>
    <n v="2"/>
    <n v="6"/>
    <n v="2"/>
    <n v="0"/>
    <n v="5"/>
  </r>
  <r>
    <n v="22"/>
    <x v="1"/>
    <n v="0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x v="0"/>
    <n v="2"/>
    <n v="80"/>
    <x v="3"/>
    <n v="1"/>
    <x v="2"/>
    <n v="2"/>
    <n v="1"/>
    <n v="0"/>
    <n v="0"/>
    <n v="0"/>
  </r>
  <r>
    <n v="53"/>
    <x v="1"/>
    <n v="0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x v="0"/>
    <n v="3"/>
    <n v="80"/>
    <x v="0"/>
    <n v="31"/>
    <x v="1"/>
    <n v="3"/>
    <n v="25"/>
    <n v="8"/>
    <n v="3"/>
    <n v="7"/>
  </r>
  <r>
    <n v="38"/>
    <x v="1"/>
    <n v="0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x v="0"/>
    <n v="3"/>
    <n v="80"/>
    <x v="0"/>
    <n v="6"/>
    <x v="1"/>
    <n v="3"/>
    <n v="3"/>
    <n v="2"/>
    <n v="1"/>
    <n v="2"/>
  </r>
  <r>
    <n v="24"/>
    <x v="1"/>
    <n v="0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x v="0"/>
    <n v="4"/>
    <n v="80"/>
    <x v="1"/>
    <n v="5"/>
    <x v="3"/>
    <n v="2"/>
    <n v="4"/>
    <n v="2"/>
    <n v="1"/>
    <n v="3"/>
  </r>
  <r>
    <n v="36"/>
    <x v="0"/>
    <n v="1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x v="1"/>
    <n v="2"/>
    <n v="80"/>
    <x v="0"/>
    <n v="10"/>
    <x v="5"/>
    <n v="3"/>
    <n v="5"/>
    <n v="3"/>
    <n v="0"/>
    <n v="3"/>
  </r>
  <r>
    <n v="34"/>
    <x v="1"/>
    <n v="0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x v="0"/>
    <n v="3"/>
    <n v="80"/>
    <x v="0"/>
    <n v="13"/>
    <x v="5"/>
    <n v="3"/>
    <n v="12"/>
    <n v="6"/>
    <n v="2"/>
    <n v="11"/>
  </r>
  <r>
    <n v="21"/>
    <x v="1"/>
    <n v="0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x v="0"/>
    <n v="4"/>
    <n v="80"/>
    <x v="0"/>
    <n v="0"/>
    <x v="6"/>
    <n v="3"/>
    <n v="0"/>
    <n v="0"/>
    <n v="0"/>
    <n v="0"/>
  </r>
  <r>
    <n v="34"/>
    <x v="0"/>
    <n v="1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x v="0"/>
    <n v="3"/>
    <n v="80"/>
    <x v="0"/>
    <n v="8"/>
    <x v="2"/>
    <n v="3"/>
    <n v="4"/>
    <n v="2"/>
    <n v="1"/>
    <n v="3"/>
  </r>
  <r>
    <n v="53"/>
    <x v="1"/>
    <n v="0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x v="0"/>
    <n v="4"/>
    <n v="80"/>
    <x v="1"/>
    <n v="26"/>
    <x v="1"/>
    <n v="2"/>
    <n v="14"/>
    <n v="13"/>
    <n v="4"/>
    <n v="8"/>
  </r>
  <r>
    <n v="32"/>
    <x v="0"/>
    <n v="1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x v="1"/>
    <n v="2"/>
    <n v="80"/>
    <x v="0"/>
    <n v="10"/>
    <x v="3"/>
    <n v="3"/>
    <n v="10"/>
    <n v="2"/>
    <n v="6"/>
    <n v="7"/>
  </r>
  <r>
    <n v="42"/>
    <x v="1"/>
    <n v="0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x v="0"/>
    <n v="4"/>
    <n v="80"/>
    <x v="1"/>
    <n v="10"/>
    <x v="2"/>
    <n v="3"/>
    <n v="9"/>
    <n v="7"/>
    <n v="4"/>
    <n v="2"/>
  </r>
  <r>
    <n v="44"/>
    <x v="1"/>
    <n v="0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x v="0"/>
    <n v="4"/>
    <n v="80"/>
    <x v="1"/>
    <n v="24"/>
    <x v="5"/>
    <n v="3"/>
    <n v="22"/>
    <n v="6"/>
    <n v="5"/>
    <n v="17"/>
  </r>
  <r>
    <n v="46"/>
    <x v="1"/>
    <n v="0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x v="0"/>
    <n v="4"/>
    <n v="80"/>
    <x v="0"/>
    <n v="22"/>
    <x v="2"/>
    <n v="2"/>
    <n v="2"/>
    <n v="2"/>
    <n v="2"/>
    <n v="1"/>
  </r>
  <r>
    <n v="33"/>
    <x v="1"/>
    <n v="0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x v="0"/>
    <n v="4"/>
    <n v="80"/>
    <x v="0"/>
    <n v="7"/>
    <x v="1"/>
    <n v="3"/>
    <n v="1"/>
    <n v="1"/>
    <n v="0"/>
    <n v="0"/>
  </r>
  <r>
    <n v="44"/>
    <x v="1"/>
    <n v="0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x v="0"/>
    <n v="4"/>
    <n v="80"/>
    <x v="0"/>
    <n v="9"/>
    <x v="3"/>
    <n v="4"/>
    <n v="4"/>
    <n v="2"/>
    <n v="1"/>
    <n v="3"/>
  </r>
  <r>
    <n v="30"/>
    <x v="1"/>
    <n v="0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x v="0"/>
    <n v="1"/>
    <n v="80"/>
    <x v="0"/>
    <n v="10"/>
    <x v="3"/>
    <n v="3"/>
    <n v="10"/>
    <n v="0"/>
    <n v="1"/>
    <n v="8"/>
  </r>
  <r>
    <n v="39"/>
    <x v="0"/>
    <n v="1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x v="0"/>
    <n v="3"/>
    <n v="80"/>
    <x v="1"/>
    <n v="19"/>
    <x v="6"/>
    <n v="4"/>
    <n v="1"/>
    <n v="0"/>
    <n v="0"/>
    <n v="0"/>
  </r>
  <r>
    <n v="24"/>
    <x v="0"/>
    <n v="1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x v="0"/>
    <n v="1"/>
    <n v="80"/>
    <x v="1"/>
    <n v="6"/>
    <x v="2"/>
    <n v="2"/>
    <n v="2"/>
    <n v="0"/>
    <n v="2"/>
    <n v="0"/>
  </r>
  <r>
    <n v="43"/>
    <x v="1"/>
    <n v="0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x v="0"/>
    <n v="4"/>
    <n v="80"/>
    <x v="3"/>
    <n v="6"/>
    <x v="1"/>
    <n v="2"/>
    <n v="5"/>
    <n v="3"/>
    <n v="1"/>
    <n v="4"/>
  </r>
  <r>
    <n v="50"/>
    <x v="0"/>
    <n v="1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x v="0"/>
    <n v="3"/>
    <n v="80"/>
    <x v="0"/>
    <n v="3"/>
    <x v="2"/>
    <n v="3"/>
    <n v="3"/>
    <n v="2"/>
    <n v="0"/>
    <n v="2"/>
  </r>
  <r>
    <n v="35"/>
    <x v="1"/>
    <n v="0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x v="0"/>
    <n v="1"/>
    <n v="80"/>
    <x v="0"/>
    <n v="2"/>
    <x v="1"/>
    <n v="3"/>
    <n v="2"/>
    <n v="2"/>
    <n v="2"/>
    <n v="2"/>
  </r>
  <r>
    <n v="36"/>
    <x v="1"/>
    <n v="0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x v="0"/>
    <n v="4"/>
    <n v="80"/>
    <x v="1"/>
    <n v="6"/>
    <x v="1"/>
    <n v="4"/>
    <n v="1"/>
    <n v="1"/>
    <n v="0"/>
    <n v="0"/>
  </r>
  <r>
    <n v="33"/>
    <x v="1"/>
    <n v="0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x v="0"/>
    <n v="1"/>
    <n v="80"/>
    <x v="3"/>
    <n v="10"/>
    <x v="1"/>
    <n v="3"/>
    <n v="5"/>
    <n v="3"/>
    <n v="1"/>
    <n v="3"/>
  </r>
  <r>
    <n v="35"/>
    <x v="1"/>
    <n v="0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x v="0"/>
    <n v="3"/>
    <n v="80"/>
    <x v="1"/>
    <n v="1"/>
    <x v="1"/>
    <n v="3"/>
    <n v="1"/>
    <n v="0"/>
    <n v="0"/>
    <n v="0"/>
  </r>
  <r>
    <n v="27"/>
    <x v="1"/>
    <n v="0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x v="0"/>
    <n v="4"/>
    <n v="80"/>
    <x v="1"/>
    <n v="1"/>
    <x v="6"/>
    <n v="3"/>
    <n v="1"/>
    <n v="0"/>
    <n v="0"/>
    <n v="0"/>
  </r>
  <r>
    <n v="26"/>
    <x v="0"/>
    <n v="1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x v="0"/>
    <n v="3"/>
    <n v="80"/>
    <x v="0"/>
    <n v="1"/>
    <x v="2"/>
    <n v="2"/>
    <n v="1"/>
    <n v="0"/>
    <n v="0"/>
    <n v="1"/>
  </r>
  <r>
    <n v="27"/>
    <x v="1"/>
    <n v="0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x v="0"/>
    <n v="4"/>
    <n v="80"/>
    <x v="0"/>
    <n v="9"/>
    <x v="0"/>
    <n v="3"/>
    <n v="9"/>
    <n v="8"/>
    <n v="1"/>
    <n v="7"/>
  </r>
  <r>
    <n v="30"/>
    <x v="1"/>
    <n v="0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x v="1"/>
    <n v="4"/>
    <n v="80"/>
    <x v="0"/>
    <n v="12"/>
    <x v="2"/>
    <n v="3"/>
    <n v="12"/>
    <n v="8"/>
    <n v="3"/>
    <n v="7"/>
  </r>
  <r>
    <n v="41"/>
    <x v="0"/>
    <n v="1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x v="0"/>
    <n v="4"/>
    <n v="80"/>
    <x v="0"/>
    <n v="23"/>
    <x v="0"/>
    <n v="3"/>
    <n v="22"/>
    <n v="15"/>
    <n v="15"/>
    <n v="8"/>
  </r>
  <r>
    <n v="34"/>
    <x v="1"/>
    <n v="0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x v="1"/>
    <n v="3"/>
    <n v="80"/>
    <x v="0"/>
    <n v="10"/>
    <x v="2"/>
    <n v="3"/>
    <n v="9"/>
    <n v="5"/>
    <n v="8"/>
    <n v="7"/>
  </r>
  <r>
    <n v="37"/>
    <x v="1"/>
    <n v="0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x v="1"/>
    <n v="1"/>
    <n v="80"/>
    <x v="0"/>
    <n v="8"/>
    <x v="4"/>
    <n v="3"/>
    <n v="1"/>
    <n v="0"/>
    <n v="0"/>
    <n v="0"/>
  </r>
  <r>
    <n v="46"/>
    <x v="1"/>
    <n v="0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x v="1"/>
    <n v="3"/>
    <n v="80"/>
    <x v="0"/>
    <n v="14"/>
    <x v="5"/>
    <n v="3"/>
    <n v="9"/>
    <n v="6"/>
    <n v="0"/>
    <n v="8"/>
  </r>
  <r>
    <n v="35"/>
    <x v="1"/>
    <n v="0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x v="0"/>
    <n v="4"/>
    <n v="80"/>
    <x v="0"/>
    <n v="1"/>
    <x v="2"/>
    <n v="3"/>
    <n v="1"/>
    <n v="0"/>
    <n v="0"/>
    <n v="1"/>
  </r>
  <r>
    <n v="48"/>
    <x v="0"/>
    <n v="1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x v="0"/>
    <n v="4"/>
    <n v="80"/>
    <x v="0"/>
    <n v="23"/>
    <x v="2"/>
    <n v="3"/>
    <n v="1"/>
    <n v="0"/>
    <n v="0"/>
    <n v="0"/>
  </r>
  <r>
    <n v="28"/>
    <x v="0"/>
    <n v="1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x v="0"/>
    <n v="3"/>
    <n v="80"/>
    <x v="0"/>
    <n v="2"/>
    <x v="1"/>
    <n v="2"/>
    <n v="2"/>
    <n v="2"/>
    <n v="2"/>
    <n v="2"/>
  </r>
  <r>
    <n v="44"/>
    <x v="1"/>
    <n v="0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x v="1"/>
    <n v="3"/>
    <n v="80"/>
    <x v="1"/>
    <n v="9"/>
    <x v="2"/>
    <n v="2"/>
    <n v="4"/>
    <n v="3"/>
    <n v="1"/>
    <n v="3"/>
  </r>
  <r>
    <n v="35"/>
    <x v="1"/>
    <n v="0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x v="0"/>
    <n v="3"/>
    <n v="80"/>
    <x v="1"/>
    <n v="10"/>
    <x v="1"/>
    <n v="3"/>
    <n v="4"/>
    <n v="0"/>
    <n v="2"/>
    <n v="3"/>
  </r>
  <r>
    <n v="26"/>
    <x v="1"/>
    <n v="0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x v="0"/>
    <n v="3"/>
    <n v="80"/>
    <x v="1"/>
    <n v="5"/>
    <x v="2"/>
    <n v="2"/>
    <n v="2"/>
    <n v="2"/>
    <n v="0"/>
    <n v="0"/>
  </r>
  <r>
    <n v="33"/>
    <x v="1"/>
    <n v="0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x v="0"/>
    <n v="3"/>
    <n v="80"/>
    <x v="0"/>
    <n v="15"/>
    <x v="4"/>
    <n v="3"/>
    <n v="15"/>
    <n v="14"/>
    <n v="8"/>
    <n v="12"/>
  </r>
  <r>
    <n v="35"/>
    <x v="1"/>
    <n v="0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x v="1"/>
    <n v="4"/>
    <n v="80"/>
    <x v="1"/>
    <n v="9"/>
    <x v="1"/>
    <n v="2"/>
    <n v="9"/>
    <n v="8"/>
    <n v="1"/>
    <n v="8"/>
  </r>
  <r>
    <n v="35"/>
    <x v="1"/>
    <n v="0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x v="0"/>
    <n v="3"/>
    <n v="80"/>
    <x v="1"/>
    <n v="4"/>
    <x v="1"/>
    <n v="3"/>
    <n v="2"/>
    <n v="2"/>
    <n v="2"/>
    <n v="2"/>
  </r>
  <r>
    <n v="31"/>
    <x v="1"/>
    <n v="0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x v="1"/>
    <n v="4"/>
    <n v="80"/>
    <x v="1"/>
    <n v="10"/>
    <x v="1"/>
    <n v="2"/>
    <n v="7"/>
    <n v="7"/>
    <n v="1"/>
    <n v="7"/>
  </r>
  <r>
    <n v="37"/>
    <x v="1"/>
    <n v="0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x v="0"/>
    <n v="3"/>
    <n v="80"/>
    <x v="1"/>
    <n v="7"/>
    <x v="2"/>
    <n v="4"/>
    <n v="7"/>
    <n v="5"/>
    <n v="0"/>
    <n v="7"/>
  </r>
  <r>
    <n v="32"/>
    <x v="1"/>
    <n v="0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x v="1"/>
    <n v="2"/>
    <n v="80"/>
    <x v="1"/>
    <n v="9"/>
    <x v="1"/>
    <n v="3"/>
    <n v="9"/>
    <n v="8"/>
    <n v="7"/>
    <n v="8"/>
  </r>
  <r>
    <n v="38"/>
    <x v="1"/>
    <n v="0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x v="0"/>
    <n v="4"/>
    <n v="80"/>
    <x v="0"/>
    <n v="10"/>
    <x v="2"/>
    <n v="3"/>
    <n v="10"/>
    <n v="3"/>
    <n v="9"/>
    <n v="9"/>
  </r>
  <r>
    <n v="50"/>
    <x v="1"/>
    <n v="0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x v="0"/>
    <n v="4"/>
    <n v="80"/>
    <x v="1"/>
    <n v="29"/>
    <x v="2"/>
    <n v="2"/>
    <n v="27"/>
    <n v="3"/>
    <n v="13"/>
    <n v="8"/>
  </r>
  <r>
    <n v="59"/>
    <x v="1"/>
    <n v="0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x v="0"/>
    <n v="4"/>
    <n v="80"/>
    <x v="0"/>
    <n v="28"/>
    <x v="1"/>
    <n v="2"/>
    <n v="21"/>
    <n v="16"/>
    <n v="7"/>
    <n v="9"/>
  </r>
  <r>
    <n v="36"/>
    <x v="1"/>
    <n v="0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x v="0"/>
    <n v="2"/>
    <n v="80"/>
    <x v="2"/>
    <n v="17"/>
    <x v="2"/>
    <n v="3"/>
    <n v="17"/>
    <n v="14"/>
    <n v="12"/>
    <n v="8"/>
  </r>
  <r>
    <n v="55"/>
    <x v="1"/>
    <n v="0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x v="0"/>
    <n v="3"/>
    <n v="80"/>
    <x v="2"/>
    <n v="21"/>
    <x v="2"/>
    <n v="3"/>
    <n v="5"/>
    <n v="0"/>
    <n v="0"/>
    <n v="2"/>
  </r>
  <r>
    <n v="36"/>
    <x v="1"/>
    <n v="0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x v="0"/>
    <n v="3"/>
    <n v="80"/>
    <x v="0"/>
    <n v="6"/>
    <x v="1"/>
    <n v="3"/>
    <n v="6"/>
    <n v="5"/>
    <n v="0"/>
    <n v="3"/>
  </r>
  <r>
    <n v="45"/>
    <x v="1"/>
    <n v="0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x v="0"/>
    <n v="3"/>
    <n v="80"/>
    <x v="1"/>
    <n v="25"/>
    <x v="2"/>
    <n v="3"/>
    <n v="1"/>
    <n v="0"/>
    <n v="0"/>
    <n v="0"/>
  </r>
  <r>
    <n v="35"/>
    <x v="1"/>
    <n v="0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x v="0"/>
    <n v="4"/>
    <n v="80"/>
    <x v="1"/>
    <n v="5"/>
    <x v="2"/>
    <n v="2"/>
    <n v="3"/>
    <n v="2"/>
    <n v="1"/>
    <n v="2"/>
  </r>
  <r>
    <n v="36"/>
    <x v="0"/>
    <n v="1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x v="0"/>
    <n v="1"/>
    <n v="80"/>
    <x v="1"/>
    <n v="2"/>
    <x v="0"/>
    <n v="2"/>
    <n v="1"/>
    <n v="0"/>
    <n v="0"/>
    <n v="0"/>
  </r>
  <r>
    <n v="59"/>
    <x v="1"/>
    <n v="0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x v="0"/>
    <n v="4"/>
    <n v="80"/>
    <x v="0"/>
    <n v="20"/>
    <x v="2"/>
    <n v="2"/>
    <n v="4"/>
    <n v="3"/>
    <n v="1"/>
    <n v="3"/>
  </r>
  <r>
    <n v="29"/>
    <x v="1"/>
    <n v="0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x v="1"/>
    <n v="4"/>
    <n v="80"/>
    <x v="1"/>
    <n v="6"/>
    <x v="1"/>
    <n v="3"/>
    <n v="5"/>
    <n v="4"/>
    <n v="0"/>
    <n v="4"/>
  </r>
  <r>
    <n v="31"/>
    <x v="1"/>
    <n v="0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x v="0"/>
    <n v="2"/>
    <n v="80"/>
    <x v="0"/>
    <n v="1"/>
    <x v="5"/>
    <n v="3"/>
    <n v="1"/>
    <n v="1"/>
    <n v="1"/>
    <n v="0"/>
  </r>
  <r>
    <n v="32"/>
    <x v="1"/>
    <n v="0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x v="0"/>
    <n v="2"/>
    <n v="80"/>
    <x v="3"/>
    <n v="10"/>
    <x v="1"/>
    <n v="3"/>
    <n v="10"/>
    <n v="4"/>
    <n v="0"/>
    <n v="9"/>
  </r>
  <r>
    <n v="36"/>
    <x v="1"/>
    <n v="0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x v="0"/>
    <n v="2"/>
    <n v="80"/>
    <x v="0"/>
    <n v="5"/>
    <x v="1"/>
    <n v="3"/>
    <n v="1"/>
    <n v="0"/>
    <n v="0"/>
    <n v="0"/>
  </r>
  <r>
    <n v="31"/>
    <x v="1"/>
    <n v="0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x v="1"/>
    <n v="4"/>
    <n v="80"/>
    <x v="0"/>
    <n v="11"/>
    <x v="2"/>
    <n v="3"/>
    <n v="11"/>
    <n v="7"/>
    <n v="1"/>
    <n v="8"/>
  </r>
  <r>
    <n v="35"/>
    <x v="1"/>
    <n v="0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x v="0"/>
    <n v="2"/>
    <n v="80"/>
    <x v="0"/>
    <n v="16"/>
    <x v="2"/>
    <n v="3"/>
    <n v="15"/>
    <n v="13"/>
    <n v="2"/>
    <n v="8"/>
  </r>
  <r>
    <n v="45"/>
    <x v="1"/>
    <n v="0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x v="0"/>
    <n v="2"/>
    <n v="80"/>
    <x v="0"/>
    <n v="17"/>
    <x v="1"/>
    <n v="4"/>
    <n v="0"/>
    <n v="0"/>
    <n v="0"/>
    <n v="0"/>
  </r>
  <r>
    <n v="37"/>
    <x v="1"/>
    <n v="0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x v="0"/>
    <n v="1"/>
    <n v="80"/>
    <x v="0"/>
    <n v="16"/>
    <x v="1"/>
    <n v="4"/>
    <n v="5"/>
    <n v="2"/>
    <n v="0"/>
    <n v="2"/>
  </r>
  <r>
    <n v="46"/>
    <x v="1"/>
    <n v="0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x v="1"/>
    <n v="4"/>
    <n v="80"/>
    <x v="1"/>
    <n v="16"/>
    <x v="2"/>
    <n v="3"/>
    <n v="4"/>
    <n v="2"/>
    <n v="0"/>
    <n v="2"/>
  </r>
  <r>
    <n v="30"/>
    <x v="1"/>
    <n v="0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x v="0"/>
    <n v="3"/>
    <n v="80"/>
    <x v="3"/>
    <n v="10"/>
    <x v="4"/>
    <n v="2"/>
    <n v="10"/>
    <n v="8"/>
    <n v="3"/>
    <n v="0"/>
  </r>
  <r>
    <n v="35"/>
    <x v="1"/>
    <n v="0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x v="0"/>
    <n v="1"/>
    <n v="80"/>
    <x v="0"/>
    <n v="6"/>
    <x v="1"/>
    <n v="3"/>
    <n v="6"/>
    <n v="4"/>
    <n v="0"/>
    <n v="4"/>
  </r>
  <r>
    <n v="55"/>
    <x v="1"/>
    <n v="0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x v="0"/>
    <n v="4"/>
    <n v="80"/>
    <x v="1"/>
    <n v="24"/>
    <x v="5"/>
    <n v="3"/>
    <n v="1"/>
    <n v="0"/>
    <n v="1"/>
    <n v="0"/>
  </r>
  <r>
    <n v="38"/>
    <x v="1"/>
    <n v="0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x v="0"/>
    <n v="4"/>
    <n v="80"/>
    <x v="2"/>
    <n v="17"/>
    <x v="1"/>
    <n v="3"/>
    <n v="13"/>
    <n v="11"/>
    <n v="1"/>
    <n v="9"/>
  </r>
  <r>
    <n v="34"/>
    <x v="1"/>
    <n v="0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x v="0"/>
    <n v="3"/>
    <n v="80"/>
    <x v="0"/>
    <n v="5"/>
    <x v="2"/>
    <n v="3"/>
    <n v="5"/>
    <n v="2"/>
    <n v="1"/>
    <n v="3"/>
  </r>
  <r>
    <n v="56"/>
    <x v="1"/>
    <n v="0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x v="0"/>
    <n v="1"/>
    <n v="80"/>
    <x v="0"/>
    <n v="37"/>
    <x v="1"/>
    <n v="2"/>
    <n v="6"/>
    <n v="4"/>
    <n v="0"/>
    <n v="2"/>
  </r>
  <r>
    <n v="23"/>
    <x v="1"/>
    <n v="0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x v="0"/>
    <n v="3"/>
    <n v="80"/>
    <x v="1"/>
    <n v="3"/>
    <x v="1"/>
    <n v="3"/>
    <n v="0"/>
    <n v="0"/>
    <n v="0"/>
    <n v="0"/>
  </r>
  <r>
    <n v="51"/>
    <x v="1"/>
    <n v="0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x v="1"/>
    <n v="2"/>
    <n v="80"/>
    <x v="3"/>
    <n v="10"/>
    <x v="5"/>
    <n v="3"/>
    <n v="4"/>
    <n v="2"/>
    <n v="0"/>
    <n v="3"/>
  </r>
  <r>
    <n v="30"/>
    <x v="1"/>
    <n v="0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x v="0"/>
    <n v="1"/>
    <n v="80"/>
    <x v="2"/>
    <n v="11"/>
    <x v="1"/>
    <n v="3"/>
    <n v="11"/>
    <n v="10"/>
    <n v="10"/>
    <n v="8"/>
  </r>
  <r>
    <n v="46"/>
    <x v="0"/>
    <n v="1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x v="0"/>
    <n v="4"/>
    <n v="80"/>
    <x v="0"/>
    <n v="9"/>
    <x v="1"/>
    <n v="3"/>
    <n v="9"/>
    <n v="8"/>
    <n v="4"/>
    <n v="7"/>
  </r>
  <r>
    <n v="40"/>
    <x v="1"/>
    <n v="0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x v="1"/>
    <n v="4"/>
    <n v="80"/>
    <x v="1"/>
    <n v="22"/>
    <x v="1"/>
    <n v="2"/>
    <n v="22"/>
    <n v="3"/>
    <n v="11"/>
    <n v="11"/>
  </r>
  <r>
    <n v="51"/>
    <x v="1"/>
    <n v="0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x v="1"/>
    <n v="4"/>
    <n v="80"/>
    <x v="0"/>
    <n v="11"/>
    <x v="2"/>
    <n v="1"/>
    <n v="10"/>
    <n v="7"/>
    <n v="1"/>
    <n v="0"/>
  </r>
  <r>
    <n v="30"/>
    <x v="1"/>
    <n v="0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x v="0"/>
    <n v="2"/>
    <n v="80"/>
    <x v="2"/>
    <n v="11"/>
    <x v="5"/>
    <n v="2"/>
    <n v="11"/>
    <n v="8"/>
    <n v="2"/>
    <n v="7"/>
  </r>
  <r>
    <n v="46"/>
    <x v="1"/>
    <n v="0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x v="0"/>
    <n v="3"/>
    <n v="80"/>
    <x v="1"/>
    <n v="21"/>
    <x v="3"/>
    <n v="2"/>
    <n v="10"/>
    <n v="9"/>
    <n v="9"/>
    <n v="5"/>
  </r>
  <r>
    <n v="32"/>
    <x v="1"/>
    <n v="0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x v="0"/>
    <n v="1"/>
    <n v="80"/>
    <x v="0"/>
    <n v="12"/>
    <x v="0"/>
    <n v="3"/>
    <n v="11"/>
    <n v="8"/>
    <n v="5"/>
    <n v="7"/>
  </r>
  <r>
    <n v="54"/>
    <x v="1"/>
    <n v="0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x v="0"/>
    <n v="1"/>
    <n v="80"/>
    <x v="1"/>
    <n v="16"/>
    <x v="3"/>
    <n v="1"/>
    <n v="4"/>
    <n v="3"/>
    <n v="0"/>
    <n v="3"/>
  </r>
  <r>
    <n v="24"/>
    <x v="1"/>
    <n v="0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x v="1"/>
    <n v="1"/>
    <n v="80"/>
    <x v="1"/>
    <n v="4"/>
    <x v="2"/>
    <n v="2"/>
    <n v="3"/>
    <n v="2"/>
    <n v="0"/>
    <n v="2"/>
  </r>
  <r>
    <n v="28"/>
    <x v="1"/>
    <n v="0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x v="0"/>
    <n v="2"/>
    <n v="80"/>
    <x v="0"/>
    <n v="5"/>
    <x v="1"/>
    <n v="4"/>
    <n v="5"/>
    <n v="4"/>
    <n v="0"/>
    <n v="4"/>
  </r>
  <r>
    <n v="58"/>
    <x v="1"/>
    <n v="0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x v="0"/>
    <n v="3"/>
    <n v="80"/>
    <x v="0"/>
    <n v="38"/>
    <x v="4"/>
    <n v="2"/>
    <n v="37"/>
    <n v="10"/>
    <n v="1"/>
    <n v="8"/>
  </r>
  <r>
    <n v="44"/>
    <x v="1"/>
    <n v="0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x v="0"/>
    <n v="3"/>
    <n v="80"/>
    <x v="1"/>
    <n v="17"/>
    <x v="1"/>
    <n v="4"/>
    <n v="3"/>
    <n v="2"/>
    <n v="1"/>
    <n v="2"/>
  </r>
  <r>
    <n v="37"/>
    <x v="0"/>
    <n v="1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x v="1"/>
    <n v="4"/>
    <n v="80"/>
    <x v="0"/>
    <n v="7"/>
    <x v="1"/>
    <n v="3"/>
    <n v="3"/>
    <n v="2"/>
    <n v="0"/>
    <n v="2"/>
  </r>
  <r>
    <n v="32"/>
    <x v="1"/>
    <n v="0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x v="0"/>
    <n v="4"/>
    <n v="80"/>
    <x v="0"/>
    <n v="1"/>
    <x v="2"/>
    <n v="3"/>
    <n v="1"/>
    <n v="0"/>
    <n v="0"/>
    <n v="0"/>
  </r>
  <r>
    <n v="20"/>
    <x v="0"/>
    <n v="1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x v="0"/>
    <n v="2"/>
    <n v="80"/>
    <x v="0"/>
    <n v="1"/>
    <x v="3"/>
    <n v="3"/>
    <n v="1"/>
    <n v="0"/>
    <n v="1"/>
    <n v="0"/>
  </r>
  <r>
    <n v="34"/>
    <x v="1"/>
    <n v="0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x v="0"/>
    <n v="3"/>
    <n v="80"/>
    <x v="0"/>
    <n v="16"/>
    <x v="1"/>
    <n v="3"/>
    <n v="16"/>
    <n v="13"/>
    <n v="2"/>
    <n v="10"/>
  </r>
  <r>
    <n v="37"/>
    <x v="1"/>
    <n v="0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x v="0"/>
    <n v="4"/>
    <n v="80"/>
    <x v="1"/>
    <n v="17"/>
    <x v="2"/>
    <n v="4"/>
    <n v="1"/>
    <n v="0"/>
    <n v="0"/>
    <n v="0"/>
  </r>
  <r>
    <n v="59"/>
    <x v="1"/>
    <n v="0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x v="1"/>
    <n v="4"/>
    <n v="80"/>
    <x v="1"/>
    <n v="30"/>
    <x v="1"/>
    <n v="3"/>
    <n v="3"/>
    <n v="2"/>
    <n v="2"/>
    <n v="2"/>
  </r>
  <r>
    <n v="50"/>
    <x v="1"/>
    <n v="0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x v="0"/>
    <n v="1"/>
    <n v="80"/>
    <x v="0"/>
    <n v="28"/>
    <x v="4"/>
    <n v="2"/>
    <n v="8"/>
    <n v="3"/>
    <n v="0"/>
    <n v="7"/>
  </r>
  <r>
    <n v="25"/>
    <x v="0"/>
    <n v="1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x v="0"/>
    <n v="4"/>
    <n v="80"/>
    <x v="0"/>
    <n v="6"/>
    <x v="4"/>
    <n v="3"/>
    <n v="6"/>
    <n v="4"/>
    <n v="0"/>
    <n v="3"/>
  </r>
  <r>
    <n v="25"/>
    <x v="1"/>
    <n v="0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x v="0"/>
    <n v="3"/>
    <n v="80"/>
    <x v="3"/>
    <n v="2"/>
    <x v="2"/>
    <n v="3"/>
    <n v="2"/>
    <n v="2"/>
    <n v="2"/>
    <n v="1"/>
  </r>
  <r>
    <n v="22"/>
    <x v="1"/>
    <n v="0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x v="0"/>
    <n v="3"/>
    <n v="80"/>
    <x v="0"/>
    <n v="1"/>
    <x v="3"/>
    <n v="3"/>
    <n v="0"/>
    <n v="0"/>
    <n v="0"/>
    <n v="0"/>
  </r>
  <r>
    <n v="51"/>
    <x v="1"/>
    <n v="0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x v="1"/>
    <n v="3"/>
    <n v="80"/>
    <x v="0"/>
    <n v="23"/>
    <x v="4"/>
    <n v="2"/>
    <n v="13"/>
    <n v="12"/>
    <n v="12"/>
    <n v="8"/>
  </r>
  <r>
    <n v="34"/>
    <x v="0"/>
    <n v="1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x v="1"/>
    <n v="4"/>
    <n v="80"/>
    <x v="0"/>
    <n v="9"/>
    <x v="1"/>
    <n v="3"/>
    <n v="9"/>
    <n v="7"/>
    <n v="0"/>
    <n v="6"/>
  </r>
  <r>
    <n v="54"/>
    <x v="1"/>
    <n v="0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x v="0"/>
    <n v="3"/>
    <n v="80"/>
    <x v="0"/>
    <n v="23"/>
    <x v="1"/>
    <n v="3"/>
    <n v="5"/>
    <n v="3"/>
    <n v="4"/>
    <n v="4"/>
  </r>
  <r>
    <n v="24"/>
    <x v="1"/>
    <n v="0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x v="0"/>
    <n v="3"/>
    <n v="80"/>
    <x v="1"/>
    <n v="6"/>
    <x v="2"/>
    <n v="3"/>
    <n v="5"/>
    <n v="3"/>
    <n v="1"/>
    <n v="2"/>
  </r>
  <r>
    <n v="34"/>
    <x v="1"/>
    <n v="0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x v="0"/>
    <n v="3"/>
    <n v="80"/>
    <x v="1"/>
    <n v="12"/>
    <x v="1"/>
    <n v="3"/>
    <n v="1"/>
    <n v="0"/>
    <n v="0"/>
    <n v="0"/>
  </r>
  <r>
    <n v="37"/>
    <x v="1"/>
    <n v="0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x v="0"/>
    <n v="1"/>
    <n v="80"/>
    <x v="0"/>
    <n v="12"/>
    <x v="1"/>
    <n v="3"/>
    <n v="5"/>
    <n v="3"/>
    <n v="1"/>
    <n v="3"/>
  </r>
  <r>
    <n v="34"/>
    <x v="1"/>
    <n v="0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x v="0"/>
    <n v="4"/>
    <n v="80"/>
    <x v="0"/>
    <n v="14"/>
    <x v="6"/>
    <n v="3"/>
    <n v="11"/>
    <n v="10"/>
    <n v="5"/>
    <n v="8"/>
  </r>
  <r>
    <n v="36"/>
    <x v="1"/>
    <n v="0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x v="0"/>
    <n v="3"/>
    <n v="80"/>
    <x v="1"/>
    <n v="10"/>
    <x v="6"/>
    <n v="3"/>
    <n v="9"/>
    <n v="7"/>
    <n v="2"/>
    <n v="8"/>
  </r>
  <r>
    <n v="36"/>
    <x v="1"/>
    <n v="0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x v="1"/>
    <n v="1"/>
    <n v="80"/>
    <x v="1"/>
    <n v="7"/>
    <x v="2"/>
    <n v="3"/>
    <n v="1"/>
    <n v="0"/>
    <n v="0"/>
    <n v="0"/>
  </r>
  <r>
    <n v="43"/>
    <x v="1"/>
    <n v="0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x v="0"/>
    <n v="4"/>
    <n v="80"/>
    <x v="3"/>
    <n v="25"/>
    <x v="1"/>
    <n v="4"/>
    <n v="25"/>
    <n v="12"/>
    <n v="4"/>
    <n v="12"/>
  </r>
  <r>
    <n v="30"/>
    <x v="1"/>
    <n v="0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x v="1"/>
    <n v="3"/>
    <n v="80"/>
    <x v="2"/>
    <n v="10"/>
    <x v="2"/>
    <n v="2"/>
    <n v="10"/>
    <n v="7"/>
    <n v="0"/>
    <n v="9"/>
  </r>
  <r>
    <n v="33"/>
    <x v="1"/>
    <n v="0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x v="0"/>
    <n v="1"/>
    <n v="80"/>
    <x v="1"/>
    <n v="8"/>
    <x v="2"/>
    <n v="4"/>
    <n v="7"/>
    <n v="7"/>
    <n v="0"/>
    <n v="7"/>
  </r>
  <r>
    <n v="56"/>
    <x v="0"/>
    <n v="1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x v="0"/>
    <n v="1"/>
    <n v="80"/>
    <x v="2"/>
    <n v="7"/>
    <x v="2"/>
    <n v="3"/>
    <n v="5"/>
    <n v="4"/>
    <n v="4"/>
    <n v="3"/>
  </r>
  <r>
    <n v="51"/>
    <x v="1"/>
    <n v="0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x v="0"/>
    <n v="3"/>
    <n v="80"/>
    <x v="0"/>
    <n v="23"/>
    <x v="3"/>
    <n v="3"/>
    <n v="20"/>
    <n v="18"/>
    <n v="15"/>
    <n v="15"/>
  </r>
  <r>
    <n v="31"/>
    <x v="0"/>
    <n v="1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x v="0"/>
    <n v="2"/>
    <n v="80"/>
    <x v="0"/>
    <n v="12"/>
    <x v="1"/>
    <n v="2"/>
    <n v="7"/>
    <n v="7"/>
    <n v="7"/>
    <n v="7"/>
  </r>
  <r>
    <n v="26"/>
    <x v="1"/>
    <n v="0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x v="0"/>
    <n v="3"/>
    <n v="80"/>
    <x v="0"/>
    <n v="5"/>
    <x v="1"/>
    <n v="2"/>
    <n v="5"/>
    <n v="4"/>
    <n v="4"/>
    <n v="3"/>
  </r>
  <r>
    <n v="58"/>
    <x v="0"/>
    <n v="1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x v="0"/>
    <n v="4"/>
    <n v="80"/>
    <x v="1"/>
    <n v="40"/>
    <x v="1"/>
    <n v="2"/>
    <n v="40"/>
    <n v="10"/>
    <n v="15"/>
    <n v="6"/>
  </r>
  <r>
    <n v="19"/>
    <x v="0"/>
    <n v="1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x v="0"/>
    <n v="4"/>
    <n v="80"/>
    <x v="0"/>
    <n v="0"/>
    <x v="2"/>
    <n v="2"/>
    <n v="0"/>
    <n v="0"/>
    <n v="0"/>
    <n v="0"/>
  </r>
  <r>
    <n v="22"/>
    <x v="1"/>
    <n v="0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x v="0"/>
    <n v="3"/>
    <n v="80"/>
    <x v="1"/>
    <n v="3"/>
    <x v="2"/>
    <n v="3"/>
    <n v="2"/>
    <n v="1"/>
    <n v="2"/>
    <n v="1"/>
  </r>
  <r>
    <n v="49"/>
    <x v="1"/>
    <n v="0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x v="0"/>
    <n v="3"/>
    <n v="80"/>
    <x v="0"/>
    <n v="16"/>
    <x v="2"/>
    <n v="2"/>
    <n v="15"/>
    <n v="11"/>
    <n v="5"/>
    <n v="11"/>
  </r>
  <r>
    <n v="43"/>
    <x v="1"/>
    <n v="0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x v="0"/>
    <n v="4"/>
    <n v="80"/>
    <x v="0"/>
    <n v="18"/>
    <x v="2"/>
    <n v="3"/>
    <n v="3"/>
    <n v="2"/>
    <n v="1"/>
    <n v="2"/>
  </r>
  <r>
    <n v="50"/>
    <x v="1"/>
    <n v="0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x v="0"/>
    <n v="4"/>
    <n v="80"/>
    <x v="0"/>
    <n v="16"/>
    <x v="1"/>
    <n v="3"/>
    <n v="2"/>
    <n v="2"/>
    <n v="2"/>
    <n v="1"/>
  </r>
  <r>
    <n v="31"/>
    <x v="0"/>
    <n v="1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x v="0"/>
    <n v="3"/>
    <n v="80"/>
    <x v="1"/>
    <n v="4"/>
    <x v="2"/>
    <n v="3"/>
    <n v="2"/>
    <n v="2"/>
    <n v="2"/>
    <n v="2"/>
  </r>
  <r>
    <n v="41"/>
    <x v="1"/>
    <n v="0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x v="0"/>
    <n v="3"/>
    <n v="80"/>
    <x v="1"/>
    <n v="12"/>
    <x v="2"/>
    <n v="3"/>
    <n v="9"/>
    <n v="7"/>
    <n v="0"/>
    <n v="7"/>
  </r>
  <r>
    <n v="26"/>
    <x v="1"/>
    <n v="0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x v="1"/>
    <n v="4"/>
    <n v="80"/>
    <x v="1"/>
    <n v="8"/>
    <x v="1"/>
    <n v="3"/>
    <n v="8"/>
    <n v="7"/>
    <n v="5"/>
    <n v="7"/>
  </r>
  <r>
    <n v="36"/>
    <x v="1"/>
    <n v="0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x v="1"/>
    <n v="4"/>
    <n v="80"/>
    <x v="3"/>
    <n v="7"/>
    <x v="0"/>
    <n v="3"/>
    <n v="3"/>
    <n v="2"/>
    <n v="0"/>
    <n v="1"/>
  </r>
  <r>
    <n v="51"/>
    <x v="0"/>
    <n v="1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x v="0"/>
    <n v="4"/>
    <n v="80"/>
    <x v="0"/>
    <n v="18"/>
    <x v="2"/>
    <n v="3"/>
    <n v="4"/>
    <n v="2"/>
    <n v="0"/>
    <n v="3"/>
  </r>
  <r>
    <n v="39"/>
    <x v="1"/>
    <n v="0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x v="0"/>
    <n v="3"/>
    <n v="80"/>
    <x v="1"/>
    <n v="17"/>
    <x v="4"/>
    <n v="4"/>
    <n v="15"/>
    <n v="11"/>
    <n v="5"/>
    <n v="9"/>
  </r>
  <r>
    <n v="25"/>
    <x v="1"/>
    <n v="0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x v="0"/>
    <n v="4"/>
    <n v="80"/>
    <x v="0"/>
    <n v="6"/>
    <x v="1"/>
    <n v="3"/>
    <n v="2"/>
    <n v="2"/>
    <n v="2"/>
    <n v="2"/>
  </r>
  <r>
    <n v="30"/>
    <x v="1"/>
    <n v="0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x v="0"/>
    <n v="4"/>
    <n v="80"/>
    <x v="0"/>
    <n v="12"/>
    <x v="2"/>
    <n v="1"/>
    <n v="11"/>
    <n v="9"/>
    <n v="4"/>
    <n v="7"/>
  </r>
  <r>
    <n v="32"/>
    <x v="0"/>
    <n v="1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x v="1"/>
    <n v="1"/>
    <n v="80"/>
    <x v="0"/>
    <n v="10"/>
    <x v="2"/>
    <n v="4"/>
    <n v="5"/>
    <n v="4"/>
    <n v="0"/>
    <n v="4"/>
  </r>
  <r>
    <n v="45"/>
    <x v="1"/>
    <n v="0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x v="0"/>
    <n v="2"/>
    <n v="80"/>
    <x v="0"/>
    <n v="9"/>
    <x v="2"/>
    <n v="2"/>
    <n v="6"/>
    <n v="5"/>
    <n v="0"/>
    <n v="3"/>
  </r>
  <r>
    <n v="38"/>
    <x v="1"/>
    <n v="0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x v="1"/>
    <n v="2"/>
    <n v="80"/>
    <x v="0"/>
    <n v="19"/>
    <x v="2"/>
    <n v="3"/>
    <n v="3"/>
    <n v="2"/>
    <n v="2"/>
    <n v="2"/>
  </r>
  <r>
    <n v="30"/>
    <x v="1"/>
    <n v="0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x v="0"/>
    <n v="3"/>
    <n v="80"/>
    <x v="0"/>
    <n v="5"/>
    <x v="5"/>
    <n v="2"/>
    <n v="5"/>
    <n v="4"/>
    <n v="0"/>
    <n v="4"/>
  </r>
  <r>
    <n v="32"/>
    <x v="1"/>
    <n v="0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x v="0"/>
    <n v="4"/>
    <n v="80"/>
    <x v="2"/>
    <n v="9"/>
    <x v="2"/>
    <n v="4"/>
    <n v="8"/>
    <n v="7"/>
    <n v="0"/>
    <n v="7"/>
  </r>
  <r>
    <n v="30"/>
    <x v="1"/>
    <n v="0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x v="0"/>
    <n v="4"/>
    <n v="80"/>
    <x v="1"/>
    <n v="8"/>
    <x v="1"/>
    <n v="3"/>
    <n v="3"/>
    <n v="2"/>
    <n v="2"/>
    <n v="2"/>
  </r>
  <r>
    <n v="30"/>
    <x v="1"/>
    <n v="0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x v="0"/>
    <n v="4"/>
    <n v="80"/>
    <x v="0"/>
    <n v="6"/>
    <x v="1"/>
    <n v="3"/>
    <n v="5"/>
    <n v="3"/>
    <n v="1"/>
    <n v="2"/>
  </r>
  <r>
    <n v="41"/>
    <x v="1"/>
    <n v="0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x v="0"/>
    <n v="2"/>
    <n v="80"/>
    <x v="1"/>
    <n v="21"/>
    <x v="2"/>
    <n v="2"/>
    <n v="7"/>
    <n v="6"/>
    <n v="7"/>
    <n v="7"/>
  </r>
  <r>
    <n v="41"/>
    <x v="1"/>
    <n v="0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x v="1"/>
    <n v="4"/>
    <n v="80"/>
    <x v="1"/>
    <n v="7"/>
    <x v="2"/>
    <n v="3"/>
    <n v="5"/>
    <n v="0"/>
    <n v="1"/>
    <n v="4"/>
  </r>
  <r>
    <n v="19"/>
    <x v="1"/>
    <n v="0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x v="0"/>
    <n v="4"/>
    <n v="80"/>
    <x v="0"/>
    <n v="1"/>
    <x v="1"/>
    <n v="3"/>
    <n v="1"/>
    <n v="0"/>
    <n v="0"/>
    <n v="0"/>
  </r>
  <r>
    <n v="40"/>
    <x v="1"/>
    <n v="0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x v="0"/>
    <n v="1"/>
    <n v="80"/>
    <x v="1"/>
    <n v="20"/>
    <x v="2"/>
    <n v="3"/>
    <n v="20"/>
    <n v="7"/>
    <n v="2"/>
    <n v="13"/>
  </r>
  <r>
    <n v="35"/>
    <x v="1"/>
    <n v="0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x v="0"/>
    <n v="1"/>
    <n v="80"/>
    <x v="3"/>
    <n v="10"/>
    <x v="1"/>
    <n v="3"/>
    <n v="10"/>
    <n v="8"/>
    <n v="0"/>
    <n v="6"/>
  </r>
  <r>
    <n v="53"/>
    <x v="1"/>
    <n v="0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x v="1"/>
    <n v="4"/>
    <n v="80"/>
    <x v="1"/>
    <n v="13"/>
    <x v="1"/>
    <n v="1"/>
    <n v="7"/>
    <n v="7"/>
    <n v="4"/>
    <n v="5"/>
  </r>
  <r>
    <n v="45"/>
    <x v="1"/>
    <n v="0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x v="0"/>
    <n v="3"/>
    <n v="80"/>
    <x v="1"/>
    <n v="20"/>
    <x v="2"/>
    <n v="1"/>
    <n v="17"/>
    <n v="9"/>
    <n v="0"/>
    <n v="15"/>
  </r>
  <r>
    <n v="32"/>
    <x v="1"/>
    <n v="0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x v="0"/>
    <n v="4"/>
    <n v="80"/>
    <x v="0"/>
    <n v="9"/>
    <x v="2"/>
    <n v="3"/>
    <n v="9"/>
    <n v="8"/>
    <n v="3"/>
    <n v="7"/>
  </r>
  <r>
    <n v="29"/>
    <x v="1"/>
    <n v="0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x v="0"/>
    <n v="1"/>
    <n v="80"/>
    <x v="1"/>
    <n v="10"/>
    <x v="4"/>
    <n v="3"/>
    <n v="10"/>
    <n v="7"/>
    <n v="0"/>
    <n v="9"/>
  </r>
  <r>
    <n v="51"/>
    <x v="1"/>
    <n v="0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x v="0"/>
    <n v="3"/>
    <n v="80"/>
    <x v="0"/>
    <n v="10"/>
    <x v="2"/>
    <n v="3"/>
    <n v="1"/>
    <n v="0"/>
    <n v="0"/>
    <n v="0"/>
  </r>
  <r>
    <n v="58"/>
    <x v="1"/>
    <n v="0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x v="1"/>
    <n v="2"/>
    <n v="80"/>
    <x v="1"/>
    <n v="9"/>
    <x v="1"/>
    <n v="2"/>
    <n v="1"/>
    <n v="0"/>
    <n v="0"/>
    <n v="0"/>
  </r>
  <r>
    <n v="40"/>
    <x v="1"/>
    <n v="0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x v="0"/>
    <n v="1"/>
    <n v="80"/>
    <x v="1"/>
    <n v="15"/>
    <x v="2"/>
    <n v="2"/>
    <n v="12"/>
    <n v="11"/>
    <n v="2"/>
    <n v="11"/>
  </r>
  <r>
    <n v="34"/>
    <x v="1"/>
    <n v="0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x v="0"/>
    <n v="4"/>
    <n v="80"/>
    <x v="1"/>
    <n v="6"/>
    <x v="1"/>
    <n v="3"/>
    <n v="4"/>
    <n v="3"/>
    <n v="1"/>
    <n v="2"/>
  </r>
  <r>
    <n v="22"/>
    <x v="1"/>
    <n v="0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x v="1"/>
    <n v="1"/>
    <n v="80"/>
    <x v="3"/>
    <n v="2"/>
    <x v="6"/>
    <n v="3"/>
    <n v="2"/>
    <n v="2"/>
    <n v="2"/>
    <n v="2"/>
  </r>
  <r>
    <n v="27"/>
    <x v="1"/>
    <n v="0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x v="0"/>
    <n v="4"/>
    <n v="80"/>
    <x v="1"/>
    <n v="6"/>
    <x v="4"/>
    <n v="1"/>
    <n v="2"/>
    <n v="2"/>
    <n v="2"/>
    <n v="2"/>
  </r>
  <r>
    <n v="28"/>
    <x v="1"/>
    <n v="0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x v="0"/>
    <n v="3"/>
    <n v="80"/>
    <x v="1"/>
    <n v="5"/>
    <x v="2"/>
    <n v="1"/>
    <n v="5"/>
    <n v="2"/>
    <n v="0"/>
    <n v="2"/>
  </r>
  <r>
    <n v="57"/>
    <x v="1"/>
    <n v="0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x v="0"/>
    <n v="2"/>
    <n v="80"/>
    <x v="1"/>
    <n v="12"/>
    <x v="2"/>
    <n v="1"/>
    <n v="5"/>
    <n v="3"/>
    <n v="1"/>
    <n v="4"/>
  </r>
  <r>
    <n v="27"/>
    <x v="1"/>
    <n v="0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x v="0"/>
    <n v="4"/>
    <n v="80"/>
    <x v="1"/>
    <n v="1"/>
    <x v="2"/>
    <n v="2"/>
    <n v="1"/>
    <n v="1"/>
    <n v="0"/>
    <n v="1"/>
  </r>
  <r>
    <n v="50"/>
    <x v="1"/>
    <n v="0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x v="0"/>
    <n v="2"/>
    <n v="80"/>
    <x v="0"/>
    <n v="21"/>
    <x v="3"/>
    <n v="3"/>
    <n v="5"/>
    <n v="4"/>
    <n v="4"/>
    <n v="4"/>
  </r>
  <r>
    <n v="41"/>
    <x v="1"/>
    <n v="0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x v="0"/>
    <n v="1"/>
    <n v="80"/>
    <x v="1"/>
    <n v="13"/>
    <x v="2"/>
    <n v="3"/>
    <n v="9"/>
    <n v="8"/>
    <n v="1"/>
    <n v="8"/>
  </r>
  <r>
    <n v="30"/>
    <x v="1"/>
    <n v="0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x v="0"/>
    <n v="3"/>
    <n v="80"/>
    <x v="1"/>
    <n v="12"/>
    <x v="2"/>
    <n v="3"/>
    <n v="10"/>
    <n v="9"/>
    <n v="7"/>
    <n v="4"/>
  </r>
  <r>
    <n v="38"/>
    <x v="1"/>
    <n v="0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x v="1"/>
    <n v="3"/>
    <n v="80"/>
    <x v="0"/>
    <n v="12"/>
    <x v="2"/>
    <n v="4"/>
    <n v="8"/>
    <n v="3"/>
    <n v="0"/>
    <n v="7"/>
  </r>
  <r>
    <n v="32"/>
    <x v="1"/>
    <n v="0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x v="1"/>
    <n v="1"/>
    <n v="80"/>
    <x v="0"/>
    <n v="8"/>
    <x v="2"/>
    <n v="3"/>
    <n v="5"/>
    <n v="4"/>
    <n v="1"/>
    <n v="4"/>
  </r>
  <r>
    <n v="27"/>
    <x v="1"/>
    <n v="0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x v="0"/>
    <n v="4"/>
    <n v="80"/>
    <x v="1"/>
    <n v="6"/>
    <x v="1"/>
    <n v="2"/>
    <n v="5"/>
    <n v="2"/>
    <n v="1"/>
    <n v="1"/>
  </r>
  <r>
    <n v="19"/>
    <x v="0"/>
    <n v="1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x v="1"/>
    <n v="1"/>
    <n v="80"/>
    <x v="0"/>
    <n v="1"/>
    <x v="3"/>
    <n v="4"/>
    <n v="0"/>
    <n v="0"/>
    <n v="0"/>
    <n v="0"/>
  </r>
  <r>
    <n v="36"/>
    <x v="1"/>
    <n v="0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x v="0"/>
    <n v="3"/>
    <n v="80"/>
    <x v="0"/>
    <n v="13"/>
    <x v="1"/>
    <n v="2"/>
    <n v="8"/>
    <n v="7"/>
    <n v="7"/>
    <n v="2"/>
  </r>
  <r>
    <n v="30"/>
    <x v="1"/>
    <n v="0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x v="0"/>
    <n v="3"/>
    <n v="80"/>
    <x v="3"/>
    <n v="12"/>
    <x v="5"/>
    <n v="3"/>
    <n v="12"/>
    <n v="9"/>
    <n v="6"/>
    <n v="10"/>
  </r>
  <r>
    <n v="45"/>
    <x v="1"/>
    <n v="0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x v="0"/>
    <n v="1"/>
    <n v="80"/>
    <x v="1"/>
    <n v="9"/>
    <x v="1"/>
    <n v="4"/>
    <n v="5"/>
    <n v="4"/>
    <n v="0"/>
    <n v="3"/>
  </r>
  <r>
    <n v="56"/>
    <x v="1"/>
    <n v="0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x v="0"/>
    <n v="3"/>
    <n v="80"/>
    <x v="1"/>
    <n v="19"/>
    <x v="1"/>
    <n v="3"/>
    <n v="2"/>
    <n v="2"/>
    <n v="2"/>
    <n v="2"/>
  </r>
  <r>
    <n v="33"/>
    <x v="1"/>
    <n v="0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x v="0"/>
    <n v="1"/>
    <n v="80"/>
    <x v="0"/>
    <n v="4"/>
    <x v="2"/>
    <n v="4"/>
    <n v="3"/>
    <n v="1"/>
    <n v="0"/>
    <n v="2"/>
  </r>
  <r>
    <n v="19"/>
    <x v="0"/>
    <n v="1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x v="1"/>
    <n v="3"/>
    <n v="80"/>
    <x v="0"/>
    <n v="1"/>
    <x v="1"/>
    <n v="2"/>
    <n v="1"/>
    <n v="0"/>
    <n v="1"/>
    <n v="0"/>
  </r>
  <r>
    <n v="46"/>
    <x v="1"/>
    <n v="0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x v="1"/>
    <n v="3"/>
    <n v="80"/>
    <x v="2"/>
    <n v="24"/>
    <x v="2"/>
    <n v="3"/>
    <n v="24"/>
    <n v="13"/>
    <n v="15"/>
    <n v="7"/>
  </r>
  <r>
    <n v="38"/>
    <x v="1"/>
    <n v="0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x v="0"/>
    <n v="3"/>
    <n v="80"/>
    <x v="0"/>
    <n v="2"/>
    <x v="1"/>
    <n v="3"/>
    <n v="2"/>
    <n v="2"/>
    <n v="2"/>
    <n v="1"/>
  </r>
  <r>
    <n v="31"/>
    <x v="1"/>
    <n v="0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x v="1"/>
    <n v="3"/>
    <n v="80"/>
    <x v="1"/>
    <n v="7"/>
    <x v="0"/>
    <n v="3"/>
    <n v="4"/>
    <n v="2"/>
    <n v="0"/>
    <n v="2"/>
  </r>
  <r>
    <n v="34"/>
    <x v="1"/>
    <n v="0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x v="0"/>
    <n v="4"/>
    <n v="80"/>
    <x v="0"/>
    <n v="9"/>
    <x v="1"/>
    <n v="3"/>
    <n v="3"/>
    <n v="2"/>
    <n v="1"/>
    <n v="2"/>
  </r>
  <r>
    <n v="41"/>
    <x v="0"/>
    <n v="1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x v="1"/>
    <n v="4"/>
    <n v="80"/>
    <x v="0"/>
    <n v="4"/>
    <x v="3"/>
    <n v="2"/>
    <n v="4"/>
    <n v="3"/>
    <n v="0"/>
    <n v="2"/>
  </r>
  <r>
    <n v="50"/>
    <x v="1"/>
    <n v="0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x v="0"/>
    <n v="4"/>
    <n v="80"/>
    <x v="1"/>
    <n v="5"/>
    <x v="2"/>
    <n v="2"/>
    <n v="3"/>
    <n v="2"/>
    <n v="0"/>
    <n v="2"/>
  </r>
  <r>
    <n v="53"/>
    <x v="1"/>
    <n v="0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x v="0"/>
    <n v="3"/>
    <n v="80"/>
    <x v="3"/>
    <n v="5"/>
    <x v="1"/>
    <n v="3"/>
    <n v="4"/>
    <n v="2"/>
    <n v="1"/>
    <n v="3"/>
  </r>
  <r>
    <n v="33"/>
    <x v="1"/>
    <n v="0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x v="0"/>
    <n v="4"/>
    <n v="80"/>
    <x v="1"/>
    <n v="8"/>
    <x v="3"/>
    <n v="3"/>
    <n v="8"/>
    <n v="7"/>
    <n v="1"/>
    <n v="6"/>
  </r>
  <r>
    <n v="40"/>
    <x v="1"/>
    <n v="0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x v="0"/>
    <n v="2"/>
    <n v="80"/>
    <x v="1"/>
    <n v="21"/>
    <x v="2"/>
    <n v="3"/>
    <n v="20"/>
    <n v="8"/>
    <n v="9"/>
    <n v="9"/>
  </r>
  <r>
    <n v="55"/>
    <x v="1"/>
    <n v="0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x v="0"/>
    <n v="4"/>
    <n v="80"/>
    <x v="0"/>
    <n v="36"/>
    <x v="1"/>
    <n v="3"/>
    <n v="24"/>
    <n v="15"/>
    <n v="2"/>
    <n v="15"/>
  </r>
  <r>
    <n v="34"/>
    <x v="1"/>
    <n v="0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x v="0"/>
    <n v="3"/>
    <n v="80"/>
    <x v="0"/>
    <n v="10"/>
    <x v="2"/>
    <n v="2"/>
    <n v="10"/>
    <n v="9"/>
    <n v="1"/>
    <n v="9"/>
  </r>
  <r>
    <n v="51"/>
    <x v="1"/>
    <n v="0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x v="0"/>
    <n v="3"/>
    <n v="80"/>
    <x v="0"/>
    <n v="21"/>
    <x v="6"/>
    <n v="3"/>
    <n v="7"/>
    <n v="7"/>
    <n v="1"/>
    <n v="0"/>
  </r>
  <r>
    <n v="52"/>
    <x v="1"/>
    <n v="0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x v="0"/>
    <n v="1"/>
    <n v="80"/>
    <x v="1"/>
    <n v="34"/>
    <x v="3"/>
    <n v="3"/>
    <n v="33"/>
    <n v="18"/>
    <n v="11"/>
    <n v="9"/>
  </r>
  <r>
    <n v="27"/>
    <x v="1"/>
    <n v="0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x v="0"/>
    <n v="4"/>
    <n v="80"/>
    <x v="0"/>
    <n v="7"/>
    <x v="2"/>
    <n v="2"/>
    <n v="7"/>
    <n v="7"/>
    <n v="0"/>
    <n v="3"/>
  </r>
  <r>
    <n v="35"/>
    <x v="0"/>
    <n v="1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x v="0"/>
    <n v="1"/>
    <n v="80"/>
    <x v="0"/>
    <n v="8"/>
    <x v="4"/>
    <n v="3"/>
    <n v="1"/>
    <n v="0"/>
    <n v="0"/>
    <n v="1"/>
  </r>
  <r>
    <n v="43"/>
    <x v="1"/>
    <n v="0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x v="0"/>
    <n v="4"/>
    <n v="80"/>
    <x v="2"/>
    <n v="7"/>
    <x v="1"/>
    <n v="4"/>
    <n v="5"/>
    <n v="4"/>
    <n v="2"/>
    <n v="2"/>
  </r>
  <r>
    <n v="45"/>
    <x v="1"/>
    <n v="0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x v="1"/>
    <n v="4"/>
    <n v="80"/>
    <x v="1"/>
    <n v="22"/>
    <x v="4"/>
    <n v="3"/>
    <n v="20"/>
    <n v="8"/>
    <n v="11"/>
    <n v="8"/>
  </r>
  <r>
    <n v="37"/>
    <x v="1"/>
    <n v="0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x v="0"/>
    <n v="1"/>
    <n v="80"/>
    <x v="1"/>
    <n v="8"/>
    <x v="1"/>
    <n v="2"/>
    <n v="8"/>
    <n v="7"/>
    <n v="1"/>
    <n v="7"/>
  </r>
  <r>
    <n v="35"/>
    <x v="1"/>
    <n v="0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x v="0"/>
    <n v="4"/>
    <n v="80"/>
    <x v="0"/>
    <n v="10"/>
    <x v="3"/>
    <n v="3"/>
    <n v="6"/>
    <n v="2"/>
    <n v="1"/>
    <n v="2"/>
  </r>
  <r>
    <n v="42"/>
    <x v="1"/>
    <n v="0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x v="0"/>
    <n v="2"/>
    <n v="80"/>
    <x v="1"/>
    <n v="11"/>
    <x v="3"/>
    <n v="3"/>
    <n v="5"/>
    <n v="3"/>
    <n v="0"/>
    <n v="2"/>
  </r>
  <r>
    <n v="38"/>
    <x v="1"/>
    <n v="0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x v="0"/>
    <n v="2"/>
    <n v="80"/>
    <x v="0"/>
    <n v="14"/>
    <x v="1"/>
    <n v="3"/>
    <n v="1"/>
    <n v="0"/>
    <n v="0"/>
    <n v="0"/>
  </r>
  <r>
    <n v="38"/>
    <x v="1"/>
    <n v="0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x v="0"/>
    <n v="1"/>
    <n v="80"/>
    <x v="1"/>
    <n v="9"/>
    <x v="1"/>
    <n v="1"/>
    <n v="7"/>
    <n v="7"/>
    <n v="1"/>
    <n v="7"/>
  </r>
  <r>
    <n v="27"/>
    <x v="1"/>
    <n v="0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x v="0"/>
    <n v="3"/>
    <n v="80"/>
    <x v="1"/>
    <n v="6"/>
    <x v="4"/>
    <n v="3"/>
    <n v="2"/>
    <n v="2"/>
    <n v="2"/>
    <n v="0"/>
  </r>
  <r>
    <n v="49"/>
    <x v="1"/>
    <n v="0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x v="0"/>
    <n v="1"/>
    <n v="80"/>
    <x v="3"/>
    <n v="7"/>
    <x v="0"/>
    <n v="3"/>
    <n v="7"/>
    <n v="7"/>
    <n v="1"/>
    <n v="7"/>
  </r>
  <r>
    <n v="34"/>
    <x v="1"/>
    <n v="0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x v="0"/>
    <n v="4"/>
    <n v="80"/>
    <x v="1"/>
    <n v="5"/>
    <x v="5"/>
    <n v="4"/>
    <n v="5"/>
    <n v="3"/>
    <n v="2"/>
    <n v="0"/>
  </r>
  <r>
    <n v="40"/>
    <x v="1"/>
    <n v="0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x v="0"/>
    <n v="3"/>
    <n v="80"/>
    <x v="1"/>
    <n v="15"/>
    <x v="2"/>
    <n v="4"/>
    <n v="7"/>
    <n v="2"/>
    <n v="3"/>
    <n v="7"/>
  </r>
  <r>
    <n v="38"/>
    <x v="0"/>
    <n v="1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x v="0"/>
    <n v="2"/>
    <n v="80"/>
    <x v="0"/>
    <n v="17"/>
    <x v="2"/>
    <n v="3"/>
    <n v="1"/>
    <n v="0"/>
    <n v="0"/>
    <n v="0"/>
  </r>
  <r>
    <n v="29"/>
    <x v="0"/>
    <n v="1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x v="1"/>
    <n v="4"/>
    <n v="80"/>
    <x v="2"/>
    <n v="10"/>
    <x v="1"/>
    <n v="2"/>
    <n v="10"/>
    <n v="4"/>
    <n v="1"/>
    <n v="9"/>
  </r>
  <r>
    <n v="22"/>
    <x v="1"/>
    <n v="0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x v="0"/>
    <n v="1"/>
    <n v="80"/>
    <x v="1"/>
    <n v="4"/>
    <x v="2"/>
    <n v="2"/>
    <n v="4"/>
    <n v="2"/>
    <n v="2"/>
    <n v="2"/>
  </r>
  <r>
    <n v="36"/>
    <x v="1"/>
    <n v="0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x v="0"/>
    <n v="1"/>
    <n v="80"/>
    <x v="0"/>
    <n v="8"/>
    <x v="2"/>
    <n v="3"/>
    <n v="8"/>
    <n v="1"/>
    <n v="1"/>
    <n v="7"/>
  </r>
  <r>
    <n v="40"/>
    <x v="1"/>
    <n v="0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x v="0"/>
    <n v="4"/>
    <n v="80"/>
    <x v="1"/>
    <n v="5"/>
    <x v="3"/>
    <n v="1"/>
    <n v="3"/>
    <n v="2"/>
    <n v="0"/>
    <n v="2"/>
  </r>
  <r>
    <n v="46"/>
    <x v="1"/>
    <n v="0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x v="0"/>
    <n v="3"/>
    <n v="80"/>
    <x v="1"/>
    <n v="17"/>
    <x v="1"/>
    <n v="3"/>
    <n v="4"/>
    <n v="2"/>
    <n v="0"/>
    <n v="3"/>
  </r>
  <r>
    <n v="32"/>
    <x v="0"/>
    <n v="1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x v="0"/>
    <n v="3"/>
    <n v="80"/>
    <x v="0"/>
    <n v="14"/>
    <x v="2"/>
    <n v="2"/>
    <n v="14"/>
    <n v="8"/>
    <n v="9"/>
    <n v="8"/>
  </r>
  <r>
    <n v="30"/>
    <x v="1"/>
    <n v="0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x v="1"/>
    <n v="3"/>
    <n v="80"/>
    <x v="0"/>
    <n v="12"/>
    <x v="2"/>
    <n v="3"/>
    <n v="11"/>
    <n v="8"/>
    <n v="5"/>
    <n v="8"/>
  </r>
  <r>
    <n v="27"/>
    <x v="1"/>
    <n v="0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x v="0"/>
    <n v="4"/>
    <n v="80"/>
    <x v="0"/>
    <n v="7"/>
    <x v="2"/>
    <n v="3"/>
    <n v="7"/>
    <n v="7"/>
    <n v="0"/>
    <n v="7"/>
  </r>
  <r>
    <n v="51"/>
    <x v="1"/>
    <n v="0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x v="0"/>
    <n v="4"/>
    <n v="80"/>
    <x v="3"/>
    <n v="16"/>
    <x v="3"/>
    <n v="1"/>
    <n v="10"/>
    <n v="9"/>
    <n v="4"/>
    <n v="7"/>
  </r>
  <r>
    <n v="30"/>
    <x v="0"/>
    <n v="1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x v="0"/>
    <n v="3"/>
    <n v="80"/>
    <x v="0"/>
    <n v="8"/>
    <x v="3"/>
    <n v="3"/>
    <n v="5"/>
    <n v="2"/>
    <n v="0"/>
    <n v="4"/>
  </r>
  <r>
    <n v="41"/>
    <x v="1"/>
    <n v="0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x v="0"/>
    <n v="3"/>
    <n v="80"/>
    <x v="0"/>
    <n v="16"/>
    <x v="1"/>
    <n v="3"/>
    <n v="1"/>
    <n v="0"/>
    <n v="0"/>
    <n v="0"/>
  </r>
  <r>
    <n v="30"/>
    <x v="0"/>
    <n v="1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x v="0"/>
    <n v="3"/>
    <n v="80"/>
    <x v="0"/>
    <n v="9"/>
    <x v="3"/>
    <n v="2"/>
    <n v="6"/>
    <n v="3"/>
    <n v="0"/>
    <n v="1"/>
  </r>
  <r>
    <n v="29"/>
    <x v="0"/>
    <n v="1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x v="0"/>
    <n v="4"/>
    <n v="80"/>
    <x v="0"/>
    <n v="7"/>
    <x v="4"/>
    <n v="2"/>
    <n v="6"/>
    <n v="2"/>
    <n v="1"/>
    <n v="5"/>
  </r>
  <r>
    <n v="45"/>
    <x v="1"/>
    <n v="0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x v="0"/>
    <n v="4"/>
    <n v="80"/>
    <x v="0"/>
    <n v="23"/>
    <x v="2"/>
    <n v="3"/>
    <n v="19"/>
    <n v="7"/>
    <n v="12"/>
    <n v="8"/>
  </r>
  <r>
    <n v="54"/>
    <x v="1"/>
    <n v="0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x v="0"/>
    <n v="4"/>
    <n v="80"/>
    <x v="1"/>
    <n v="16"/>
    <x v="5"/>
    <n v="3"/>
    <n v="6"/>
    <n v="2"/>
    <n v="0"/>
    <n v="5"/>
  </r>
  <r>
    <n v="36"/>
    <x v="1"/>
    <n v="0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x v="0"/>
    <n v="4"/>
    <n v="80"/>
    <x v="0"/>
    <n v="16"/>
    <x v="1"/>
    <n v="4"/>
    <n v="13"/>
    <n v="11"/>
    <n v="3"/>
    <n v="7"/>
  </r>
  <r>
    <n v="33"/>
    <x v="1"/>
    <n v="0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x v="1"/>
    <n v="4"/>
    <n v="80"/>
    <x v="0"/>
    <n v="7"/>
    <x v="1"/>
    <n v="3"/>
    <n v="3"/>
    <n v="2"/>
    <n v="1"/>
    <n v="1"/>
  </r>
  <r>
    <n v="37"/>
    <x v="1"/>
    <n v="0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x v="0"/>
    <n v="3"/>
    <n v="80"/>
    <x v="2"/>
    <n v="10"/>
    <x v="4"/>
    <n v="3"/>
    <n v="10"/>
    <n v="8"/>
    <n v="0"/>
    <n v="7"/>
  </r>
  <r>
    <n v="38"/>
    <x v="1"/>
    <n v="0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x v="0"/>
    <n v="3"/>
    <n v="80"/>
    <x v="3"/>
    <n v="17"/>
    <x v="6"/>
    <n v="2"/>
    <n v="16"/>
    <n v="10"/>
    <n v="5"/>
    <n v="13"/>
  </r>
  <r>
    <n v="31"/>
    <x v="1"/>
    <n v="0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x v="0"/>
    <n v="4"/>
    <n v="80"/>
    <x v="1"/>
    <n v="6"/>
    <x v="2"/>
    <n v="3"/>
    <n v="5"/>
    <n v="4"/>
    <n v="1"/>
    <n v="4"/>
  </r>
  <r>
    <n v="59"/>
    <x v="1"/>
    <n v="0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x v="0"/>
    <n v="1"/>
    <n v="80"/>
    <x v="1"/>
    <n v="7"/>
    <x v="6"/>
    <n v="3"/>
    <n v="1"/>
    <n v="0"/>
    <n v="0"/>
    <n v="0"/>
  </r>
  <r>
    <n v="37"/>
    <x v="1"/>
    <n v="0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x v="0"/>
    <n v="3"/>
    <n v="80"/>
    <x v="1"/>
    <n v="13"/>
    <x v="2"/>
    <n v="3"/>
    <n v="9"/>
    <n v="8"/>
    <n v="5"/>
    <n v="8"/>
  </r>
  <r>
    <n v="29"/>
    <x v="1"/>
    <n v="0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x v="0"/>
    <n v="4"/>
    <n v="80"/>
    <x v="1"/>
    <n v="11"/>
    <x v="3"/>
    <n v="3"/>
    <n v="11"/>
    <n v="10"/>
    <n v="4"/>
    <n v="1"/>
  </r>
  <r>
    <n v="35"/>
    <x v="1"/>
    <n v="0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x v="0"/>
    <n v="1"/>
    <n v="80"/>
    <x v="0"/>
    <n v="10"/>
    <x v="1"/>
    <n v="4"/>
    <n v="10"/>
    <n v="7"/>
    <n v="0"/>
    <n v="8"/>
  </r>
  <r>
    <n v="29"/>
    <x v="0"/>
    <n v="1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x v="0"/>
    <n v="3"/>
    <n v="80"/>
    <x v="0"/>
    <n v="4"/>
    <x v="1"/>
    <n v="2"/>
    <n v="4"/>
    <n v="3"/>
    <n v="0"/>
    <n v="1"/>
  </r>
  <r>
    <n v="52"/>
    <x v="1"/>
    <n v="0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x v="0"/>
    <n v="2"/>
    <n v="80"/>
    <x v="0"/>
    <n v="6"/>
    <x v="1"/>
    <n v="2"/>
    <n v="2"/>
    <n v="2"/>
    <n v="2"/>
    <n v="2"/>
  </r>
  <r>
    <n v="42"/>
    <x v="1"/>
    <n v="0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x v="0"/>
    <n v="4"/>
    <n v="80"/>
    <x v="0"/>
    <n v="22"/>
    <x v="1"/>
    <n v="3"/>
    <n v="22"/>
    <n v="17"/>
    <n v="11"/>
    <n v="15"/>
  </r>
  <r>
    <n v="59"/>
    <x v="1"/>
    <n v="0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x v="0"/>
    <n v="4"/>
    <n v="80"/>
    <x v="0"/>
    <n v="7"/>
    <x v="2"/>
    <n v="2"/>
    <n v="2"/>
    <n v="2"/>
    <n v="2"/>
    <n v="2"/>
  </r>
  <r>
    <n v="50"/>
    <x v="1"/>
    <n v="0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x v="0"/>
    <n v="3"/>
    <n v="80"/>
    <x v="1"/>
    <n v="32"/>
    <x v="1"/>
    <n v="2"/>
    <n v="7"/>
    <n v="0"/>
    <n v="0"/>
    <n v="6"/>
  </r>
  <r>
    <n v="33"/>
    <x v="0"/>
    <n v="1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x v="0"/>
    <n v="3"/>
    <n v="80"/>
    <x v="1"/>
    <n v="8"/>
    <x v="2"/>
    <n v="1"/>
    <n v="5"/>
    <n v="4"/>
    <n v="0"/>
    <n v="4"/>
  </r>
  <r>
    <n v="43"/>
    <x v="1"/>
    <n v="0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x v="1"/>
    <n v="3"/>
    <n v="80"/>
    <x v="1"/>
    <n v="22"/>
    <x v="1"/>
    <n v="3"/>
    <n v="17"/>
    <n v="13"/>
    <n v="1"/>
    <n v="9"/>
  </r>
  <r>
    <n v="33"/>
    <x v="0"/>
    <n v="1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x v="1"/>
    <n v="1"/>
    <n v="80"/>
    <x v="0"/>
    <n v="13"/>
    <x v="1"/>
    <n v="4"/>
    <n v="9"/>
    <n v="7"/>
    <n v="1"/>
    <n v="7"/>
  </r>
  <r>
    <n v="52"/>
    <x v="1"/>
    <n v="0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x v="0"/>
    <n v="4"/>
    <n v="80"/>
    <x v="0"/>
    <n v="33"/>
    <x v="2"/>
    <n v="4"/>
    <n v="33"/>
    <n v="7"/>
    <n v="15"/>
    <n v="12"/>
  </r>
  <r>
    <n v="32"/>
    <x v="1"/>
    <n v="0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x v="0"/>
    <n v="1"/>
    <n v="80"/>
    <x v="1"/>
    <n v="6"/>
    <x v="3"/>
    <n v="3"/>
    <n v="4"/>
    <n v="3"/>
    <n v="1"/>
    <n v="2"/>
  </r>
  <r>
    <n v="32"/>
    <x v="0"/>
    <n v="1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x v="0"/>
    <n v="4"/>
    <n v="80"/>
    <x v="0"/>
    <n v="4"/>
    <x v="2"/>
    <n v="1"/>
    <n v="3"/>
    <n v="2"/>
    <n v="1"/>
    <n v="2"/>
  </r>
  <r>
    <n v="39"/>
    <x v="1"/>
    <n v="0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x v="0"/>
    <n v="3"/>
    <n v="80"/>
    <x v="2"/>
    <n v="7"/>
    <x v="4"/>
    <n v="3"/>
    <n v="3"/>
    <n v="2"/>
    <n v="1"/>
    <n v="2"/>
  </r>
  <r>
    <n v="32"/>
    <x v="1"/>
    <n v="0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x v="0"/>
    <n v="1"/>
    <n v="80"/>
    <x v="0"/>
    <n v="4"/>
    <x v="2"/>
    <n v="3"/>
    <n v="3"/>
    <n v="2"/>
    <n v="2"/>
    <n v="2"/>
  </r>
  <r>
    <n v="41"/>
    <x v="1"/>
    <n v="0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x v="0"/>
    <n v="1"/>
    <n v="80"/>
    <x v="3"/>
    <n v="17"/>
    <x v="2"/>
    <n v="2"/>
    <n v="1"/>
    <n v="0"/>
    <n v="0"/>
    <n v="0"/>
  </r>
  <r>
    <n v="40"/>
    <x v="1"/>
    <n v="0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x v="0"/>
    <n v="1"/>
    <n v="80"/>
    <x v="3"/>
    <n v="9"/>
    <x v="1"/>
    <n v="3"/>
    <n v="9"/>
    <n v="8"/>
    <n v="4"/>
    <n v="7"/>
  </r>
  <r>
    <n v="45"/>
    <x v="1"/>
    <n v="0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x v="0"/>
    <n v="3"/>
    <n v="80"/>
    <x v="1"/>
    <n v="25"/>
    <x v="2"/>
    <n v="3"/>
    <n v="24"/>
    <n v="0"/>
    <n v="1"/>
    <n v="7"/>
  </r>
  <r>
    <n v="31"/>
    <x v="1"/>
    <n v="0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x v="0"/>
    <n v="1"/>
    <n v="80"/>
    <x v="1"/>
    <n v="9"/>
    <x v="1"/>
    <n v="3"/>
    <n v="2"/>
    <n v="2"/>
    <n v="2"/>
    <n v="2"/>
  </r>
  <r>
    <n v="33"/>
    <x v="1"/>
    <n v="0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x v="0"/>
    <n v="3"/>
    <n v="80"/>
    <x v="1"/>
    <n v="2"/>
    <x v="2"/>
    <n v="2"/>
    <n v="2"/>
    <n v="2"/>
    <n v="0"/>
    <n v="2"/>
  </r>
  <r>
    <n v="34"/>
    <x v="1"/>
    <n v="0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x v="0"/>
    <n v="2"/>
    <n v="80"/>
    <x v="1"/>
    <n v="13"/>
    <x v="1"/>
    <n v="3"/>
    <n v="11"/>
    <n v="9"/>
    <n v="5"/>
    <n v="9"/>
  </r>
  <r>
    <n v="37"/>
    <x v="1"/>
    <n v="0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x v="0"/>
    <n v="1"/>
    <n v="80"/>
    <x v="1"/>
    <n v="17"/>
    <x v="2"/>
    <n v="2"/>
    <n v="3"/>
    <n v="1"/>
    <n v="0"/>
    <n v="2"/>
  </r>
  <r>
    <n v="45"/>
    <x v="1"/>
    <n v="0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x v="0"/>
    <n v="4"/>
    <n v="80"/>
    <x v="1"/>
    <n v="9"/>
    <x v="4"/>
    <n v="3"/>
    <n v="3"/>
    <n v="2"/>
    <n v="0"/>
    <n v="2"/>
  </r>
  <r>
    <n v="37"/>
    <x v="0"/>
    <n v="1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x v="0"/>
    <n v="2"/>
    <n v="80"/>
    <x v="3"/>
    <n v="17"/>
    <x v="3"/>
    <n v="3"/>
    <n v="1"/>
    <n v="0"/>
    <n v="0"/>
    <n v="0"/>
  </r>
  <r>
    <n v="39"/>
    <x v="1"/>
    <n v="0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x v="1"/>
    <n v="4"/>
    <n v="80"/>
    <x v="0"/>
    <n v="20"/>
    <x v="4"/>
    <n v="3"/>
    <n v="19"/>
    <n v="6"/>
    <n v="11"/>
    <n v="8"/>
  </r>
  <r>
    <n v="29"/>
    <x v="1"/>
    <n v="0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x v="0"/>
    <n v="1"/>
    <n v="80"/>
    <x v="0"/>
    <n v="6"/>
    <x v="4"/>
    <n v="3"/>
    <n v="6"/>
    <n v="5"/>
    <n v="1"/>
    <n v="5"/>
  </r>
  <r>
    <n v="42"/>
    <x v="1"/>
    <n v="0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x v="0"/>
    <n v="3"/>
    <n v="80"/>
    <x v="0"/>
    <n v="10"/>
    <x v="4"/>
    <n v="3"/>
    <n v="3"/>
    <n v="2"/>
    <n v="0"/>
    <n v="2"/>
  </r>
  <r>
    <n v="29"/>
    <x v="1"/>
    <n v="0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x v="0"/>
    <n v="4"/>
    <n v="80"/>
    <x v="1"/>
    <n v="10"/>
    <x v="2"/>
    <n v="3"/>
    <n v="3"/>
    <n v="2"/>
    <n v="0"/>
    <n v="2"/>
  </r>
  <r>
    <n v="25"/>
    <x v="1"/>
    <n v="0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x v="0"/>
    <n v="4"/>
    <n v="80"/>
    <x v="3"/>
    <n v="5"/>
    <x v="1"/>
    <n v="3"/>
    <n v="4"/>
    <n v="2"/>
    <n v="1"/>
    <n v="2"/>
  </r>
  <r>
    <n v="42"/>
    <x v="1"/>
    <n v="0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x v="0"/>
    <n v="3"/>
    <n v="80"/>
    <x v="1"/>
    <n v="10"/>
    <x v="5"/>
    <n v="3"/>
    <n v="9"/>
    <n v="6"/>
    <n v="7"/>
    <n v="8"/>
  </r>
  <r>
    <n v="40"/>
    <x v="1"/>
    <n v="0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x v="0"/>
    <n v="4"/>
    <n v="80"/>
    <x v="1"/>
    <n v="22"/>
    <x v="3"/>
    <n v="3"/>
    <n v="21"/>
    <n v="7"/>
    <n v="3"/>
    <n v="9"/>
  </r>
  <r>
    <n v="51"/>
    <x v="1"/>
    <n v="0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x v="0"/>
    <n v="2"/>
    <n v="80"/>
    <x v="0"/>
    <n v="1"/>
    <x v="0"/>
    <n v="2"/>
    <n v="1"/>
    <n v="0"/>
    <n v="0"/>
    <n v="0"/>
  </r>
  <r>
    <n v="31"/>
    <x v="0"/>
    <n v="1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x v="0"/>
    <n v="2"/>
    <n v="80"/>
    <x v="0"/>
    <n v="6"/>
    <x v="2"/>
    <n v="4"/>
    <n v="5"/>
    <n v="4"/>
    <n v="1"/>
    <n v="4"/>
  </r>
  <r>
    <n v="32"/>
    <x v="1"/>
    <n v="0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x v="1"/>
    <n v="3"/>
    <n v="80"/>
    <x v="0"/>
    <n v="5"/>
    <x v="1"/>
    <n v="1"/>
    <n v="5"/>
    <n v="1"/>
    <n v="0"/>
    <n v="3"/>
  </r>
  <r>
    <n v="38"/>
    <x v="1"/>
    <n v="0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x v="0"/>
    <n v="4"/>
    <n v="80"/>
    <x v="1"/>
    <n v="13"/>
    <x v="0"/>
    <n v="3"/>
    <n v="8"/>
    <n v="7"/>
    <n v="7"/>
    <n v="5"/>
  </r>
  <r>
    <n v="32"/>
    <x v="1"/>
    <n v="0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x v="0"/>
    <n v="4"/>
    <n v="80"/>
    <x v="0"/>
    <n v="9"/>
    <x v="3"/>
    <n v="3"/>
    <n v="6"/>
    <n v="2"/>
    <n v="0"/>
    <n v="4"/>
  </r>
  <r>
    <n v="46"/>
    <x v="1"/>
    <n v="0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x v="0"/>
    <n v="2"/>
    <n v="80"/>
    <x v="1"/>
    <n v="28"/>
    <x v="2"/>
    <n v="2"/>
    <n v="7"/>
    <n v="7"/>
    <n v="7"/>
    <n v="7"/>
  </r>
  <r>
    <n v="28"/>
    <x v="0"/>
    <n v="1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x v="0"/>
    <n v="3"/>
    <n v="80"/>
    <x v="0"/>
    <n v="5"/>
    <x v="3"/>
    <n v="1"/>
    <n v="0"/>
    <n v="0"/>
    <n v="0"/>
    <n v="0"/>
  </r>
  <r>
    <n v="29"/>
    <x v="1"/>
    <n v="0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x v="0"/>
    <n v="2"/>
    <n v="80"/>
    <x v="3"/>
    <n v="10"/>
    <x v="2"/>
    <n v="3"/>
    <n v="0"/>
    <n v="0"/>
    <n v="0"/>
    <n v="0"/>
  </r>
  <r>
    <n v="31"/>
    <x v="1"/>
    <n v="0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x v="1"/>
    <n v="2"/>
    <n v="80"/>
    <x v="1"/>
    <n v="10"/>
    <x v="2"/>
    <n v="3"/>
    <n v="9"/>
    <n v="0"/>
    <n v="7"/>
    <n v="8"/>
  </r>
  <r>
    <n v="25"/>
    <x v="1"/>
    <n v="0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x v="0"/>
    <n v="4"/>
    <n v="80"/>
    <x v="3"/>
    <n v="6"/>
    <x v="2"/>
    <n v="3"/>
    <n v="6"/>
    <n v="3"/>
    <n v="1"/>
    <n v="5"/>
  </r>
  <r>
    <n v="45"/>
    <x v="1"/>
    <n v="0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x v="0"/>
    <n v="2"/>
    <n v="80"/>
    <x v="0"/>
    <n v="21"/>
    <x v="2"/>
    <n v="3"/>
    <n v="20"/>
    <n v="7"/>
    <n v="4"/>
    <n v="10"/>
  </r>
  <r>
    <n v="36"/>
    <x v="1"/>
    <n v="0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x v="0"/>
    <n v="3"/>
    <n v="80"/>
    <x v="1"/>
    <n v="16"/>
    <x v="5"/>
    <n v="3"/>
    <n v="15"/>
    <n v="13"/>
    <n v="10"/>
    <n v="11"/>
  </r>
  <r>
    <n v="55"/>
    <x v="1"/>
    <n v="0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x v="0"/>
    <n v="3"/>
    <n v="80"/>
    <x v="0"/>
    <n v="37"/>
    <x v="2"/>
    <n v="3"/>
    <n v="36"/>
    <n v="10"/>
    <n v="4"/>
    <n v="13"/>
  </r>
  <r>
    <n v="47"/>
    <x v="0"/>
    <n v="1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x v="0"/>
    <n v="4"/>
    <n v="80"/>
    <x v="1"/>
    <n v="10"/>
    <x v="2"/>
    <n v="2"/>
    <n v="10"/>
    <n v="7"/>
    <n v="9"/>
    <n v="9"/>
  </r>
  <r>
    <n v="28"/>
    <x v="1"/>
    <n v="0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x v="1"/>
    <n v="4"/>
    <n v="80"/>
    <x v="1"/>
    <n v="5"/>
    <x v="1"/>
    <n v="2"/>
    <n v="5"/>
    <n v="2"/>
    <n v="0"/>
    <n v="4"/>
  </r>
  <r>
    <n v="37"/>
    <x v="1"/>
    <n v="0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x v="0"/>
    <n v="2"/>
    <n v="80"/>
    <x v="1"/>
    <n v="7"/>
    <x v="3"/>
    <n v="4"/>
    <n v="5"/>
    <n v="4"/>
    <n v="0"/>
    <n v="1"/>
  </r>
  <r>
    <n v="21"/>
    <x v="1"/>
    <n v="0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x v="0"/>
    <n v="1"/>
    <n v="80"/>
    <x v="0"/>
    <n v="3"/>
    <x v="5"/>
    <n v="4"/>
    <n v="3"/>
    <n v="2"/>
    <n v="1"/>
    <n v="0"/>
  </r>
  <r>
    <n v="37"/>
    <x v="1"/>
    <n v="0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x v="0"/>
    <n v="1"/>
    <n v="80"/>
    <x v="3"/>
    <n v="15"/>
    <x v="2"/>
    <n v="3"/>
    <n v="5"/>
    <n v="2"/>
    <n v="0"/>
    <n v="2"/>
  </r>
  <r>
    <n v="35"/>
    <x v="1"/>
    <n v="0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x v="0"/>
    <n v="2"/>
    <n v="80"/>
    <x v="1"/>
    <n v="10"/>
    <x v="6"/>
    <n v="2"/>
    <n v="7"/>
    <n v="7"/>
    <n v="6"/>
    <n v="2"/>
  </r>
  <r>
    <n v="38"/>
    <x v="1"/>
    <n v="0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x v="1"/>
    <n v="3"/>
    <n v="80"/>
    <x v="1"/>
    <n v="8"/>
    <x v="1"/>
    <n v="3"/>
    <n v="8"/>
    <n v="0"/>
    <n v="7"/>
    <n v="7"/>
  </r>
  <r>
    <n v="26"/>
    <x v="1"/>
    <n v="0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x v="1"/>
    <n v="1"/>
    <n v="80"/>
    <x v="1"/>
    <n v="6"/>
    <x v="6"/>
    <n v="1"/>
    <n v="6"/>
    <n v="5"/>
    <n v="1"/>
    <n v="4"/>
  </r>
  <r>
    <n v="50"/>
    <x v="1"/>
    <n v="0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x v="0"/>
    <n v="1"/>
    <n v="80"/>
    <x v="3"/>
    <n v="28"/>
    <x v="5"/>
    <n v="2"/>
    <n v="10"/>
    <n v="4"/>
    <n v="1"/>
    <n v="6"/>
  </r>
  <r>
    <n v="53"/>
    <x v="1"/>
    <n v="0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x v="0"/>
    <n v="4"/>
    <n v="80"/>
    <x v="2"/>
    <n v="21"/>
    <x v="3"/>
    <n v="2"/>
    <n v="5"/>
    <n v="3"/>
    <n v="1"/>
    <n v="3"/>
  </r>
  <r>
    <n v="42"/>
    <x v="1"/>
    <n v="0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x v="1"/>
    <n v="3"/>
    <n v="80"/>
    <x v="0"/>
    <n v="20"/>
    <x v="1"/>
    <n v="3"/>
    <n v="20"/>
    <n v="16"/>
    <n v="11"/>
    <n v="6"/>
  </r>
  <r>
    <n v="29"/>
    <x v="1"/>
    <n v="0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x v="0"/>
    <n v="1"/>
    <n v="80"/>
    <x v="0"/>
    <n v="10"/>
    <x v="1"/>
    <n v="2"/>
    <n v="10"/>
    <n v="7"/>
    <n v="0"/>
    <n v="9"/>
  </r>
  <r>
    <n v="55"/>
    <x v="1"/>
    <n v="0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x v="0"/>
    <n v="4"/>
    <n v="80"/>
    <x v="1"/>
    <n v="12"/>
    <x v="5"/>
    <n v="3"/>
    <n v="10"/>
    <n v="7"/>
    <n v="0"/>
    <n v="8"/>
  </r>
  <r>
    <n v="26"/>
    <x v="1"/>
    <n v="0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x v="0"/>
    <n v="3"/>
    <n v="80"/>
    <x v="1"/>
    <n v="5"/>
    <x v="1"/>
    <n v="3"/>
    <n v="5"/>
    <n v="3"/>
    <n v="3"/>
    <n v="3"/>
  </r>
  <r>
    <n v="37"/>
    <x v="1"/>
    <n v="0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x v="0"/>
    <n v="2"/>
    <n v="80"/>
    <x v="0"/>
    <n v="17"/>
    <x v="1"/>
    <n v="3"/>
    <n v="17"/>
    <n v="12"/>
    <n v="5"/>
    <n v="7"/>
  </r>
  <r>
    <n v="44"/>
    <x v="0"/>
    <n v="1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x v="1"/>
    <n v="4"/>
    <n v="80"/>
    <x v="1"/>
    <n v="19"/>
    <x v="0"/>
    <n v="1"/>
    <n v="1"/>
    <n v="0"/>
    <n v="0"/>
    <n v="0"/>
  </r>
  <r>
    <n v="38"/>
    <x v="1"/>
    <n v="0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x v="0"/>
    <n v="2"/>
    <n v="80"/>
    <x v="1"/>
    <n v="10"/>
    <x v="2"/>
    <n v="3"/>
    <n v="2"/>
    <n v="2"/>
    <n v="1"/>
    <n v="2"/>
  </r>
  <r>
    <n v="26"/>
    <x v="0"/>
    <n v="1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x v="0"/>
    <n v="4"/>
    <n v="80"/>
    <x v="1"/>
    <n v="5"/>
    <x v="2"/>
    <n v="3"/>
    <n v="3"/>
    <n v="2"/>
    <n v="0"/>
    <n v="2"/>
  </r>
  <r>
    <n v="28"/>
    <x v="1"/>
    <n v="0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x v="1"/>
    <n v="4"/>
    <n v="80"/>
    <x v="0"/>
    <n v="5"/>
    <x v="1"/>
    <n v="3"/>
    <n v="5"/>
    <n v="3"/>
    <n v="0"/>
    <n v="2"/>
  </r>
  <r>
    <n v="49"/>
    <x v="1"/>
    <n v="0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x v="0"/>
    <n v="4"/>
    <n v="80"/>
    <x v="0"/>
    <n v="22"/>
    <x v="5"/>
    <n v="3"/>
    <n v="3"/>
    <n v="2"/>
    <n v="1"/>
    <n v="2"/>
  </r>
  <r>
    <n v="36"/>
    <x v="1"/>
    <n v="0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x v="0"/>
    <n v="4"/>
    <n v="80"/>
    <x v="0"/>
    <n v="10"/>
    <x v="2"/>
    <n v="3"/>
    <n v="8"/>
    <n v="0"/>
    <n v="7"/>
    <n v="7"/>
  </r>
  <r>
    <n v="31"/>
    <x v="1"/>
    <n v="0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x v="0"/>
    <n v="3"/>
    <n v="80"/>
    <x v="1"/>
    <n v="2"/>
    <x v="3"/>
    <n v="2"/>
    <n v="2"/>
    <n v="2"/>
    <n v="2"/>
    <n v="2"/>
  </r>
  <r>
    <n v="26"/>
    <x v="0"/>
    <n v="1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x v="0"/>
    <n v="2"/>
    <n v="80"/>
    <x v="0"/>
    <n v="8"/>
    <x v="0"/>
    <n v="3"/>
    <n v="8"/>
    <n v="7"/>
    <n v="7"/>
    <n v="4"/>
  </r>
  <r>
    <n v="37"/>
    <x v="1"/>
    <n v="0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x v="0"/>
    <n v="3"/>
    <n v="80"/>
    <x v="2"/>
    <n v="4"/>
    <x v="1"/>
    <n v="2"/>
    <n v="4"/>
    <n v="2"/>
    <n v="1"/>
    <n v="2"/>
  </r>
  <r>
    <n v="42"/>
    <x v="1"/>
    <n v="0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x v="0"/>
    <n v="4"/>
    <n v="80"/>
    <x v="1"/>
    <n v="23"/>
    <x v="2"/>
    <n v="4"/>
    <n v="20"/>
    <n v="4"/>
    <n v="4"/>
    <n v="8"/>
  </r>
  <r>
    <n v="18"/>
    <x v="0"/>
    <n v="1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x v="0"/>
    <n v="3"/>
    <n v="80"/>
    <x v="0"/>
    <n v="0"/>
    <x v="2"/>
    <n v="3"/>
    <n v="0"/>
    <n v="0"/>
    <n v="0"/>
    <n v="0"/>
  </r>
  <r>
    <n v="35"/>
    <x v="1"/>
    <n v="0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x v="0"/>
    <n v="3"/>
    <n v="80"/>
    <x v="3"/>
    <n v="12"/>
    <x v="1"/>
    <n v="2"/>
    <n v="11"/>
    <n v="9"/>
    <n v="6"/>
    <n v="9"/>
  </r>
  <r>
    <n v="36"/>
    <x v="1"/>
    <n v="0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x v="0"/>
    <n v="4"/>
    <n v="80"/>
    <x v="3"/>
    <n v="4"/>
    <x v="2"/>
    <n v="3"/>
    <n v="1"/>
    <n v="0"/>
    <n v="0"/>
    <n v="0"/>
  </r>
  <r>
    <n v="51"/>
    <x v="1"/>
    <n v="0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x v="0"/>
    <n v="4"/>
    <n v="80"/>
    <x v="1"/>
    <n v="13"/>
    <x v="1"/>
    <n v="3"/>
    <n v="4"/>
    <n v="1"/>
    <n v="1"/>
    <n v="2"/>
  </r>
  <r>
    <n v="41"/>
    <x v="1"/>
    <n v="0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x v="0"/>
    <n v="2"/>
    <n v="80"/>
    <x v="0"/>
    <n v="22"/>
    <x v="2"/>
    <n v="3"/>
    <n v="22"/>
    <n v="10"/>
    <n v="0"/>
    <n v="4"/>
  </r>
  <r>
    <n v="18"/>
    <x v="1"/>
    <n v="0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x v="0"/>
    <n v="1"/>
    <n v="80"/>
    <x v="0"/>
    <n v="0"/>
    <x v="2"/>
    <n v="3"/>
    <n v="0"/>
    <n v="0"/>
    <n v="0"/>
    <n v="0"/>
  </r>
  <r>
    <n v="28"/>
    <x v="1"/>
    <n v="0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x v="0"/>
    <n v="3"/>
    <n v="80"/>
    <x v="0"/>
    <n v="9"/>
    <x v="2"/>
    <n v="3"/>
    <n v="8"/>
    <n v="3"/>
    <n v="0"/>
    <n v="7"/>
  </r>
  <r>
    <n v="31"/>
    <x v="1"/>
    <n v="0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x v="0"/>
    <n v="2"/>
    <n v="80"/>
    <x v="1"/>
    <n v="10"/>
    <x v="1"/>
    <n v="2"/>
    <n v="8"/>
    <n v="7"/>
    <n v="7"/>
    <n v="7"/>
  </r>
  <r>
    <n v="39"/>
    <x v="1"/>
    <n v="0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x v="0"/>
    <n v="1"/>
    <n v="80"/>
    <x v="2"/>
    <n v="19"/>
    <x v="3"/>
    <n v="2"/>
    <n v="18"/>
    <n v="10"/>
    <n v="3"/>
    <n v="7"/>
  </r>
  <r>
    <n v="36"/>
    <x v="1"/>
    <n v="0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x v="0"/>
    <n v="3"/>
    <n v="80"/>
    <x v="1"/>
    <n v="11"/>
    <x v="1"/>
    <n v="3"/>
    <n v="9"/>
    <n v="8"/>
    <n v="0"/>
    <n v="8"/>
  </r>
  <r>
    <n v="32"/>
    <x v="1"/>
    <n v="0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x v="0"/>
    <n v="3"/>
    <n v="80"/>
    <x v="1"/>
    <n v="13"/>
    <x v="1"/>
    <n v="2"/>
    <n v="13"/>
    <n v="8"/>
    <n v="4"/>
    <n v="8"/>
  </r>
  <r>
    <n v="38"/>
    <x v="1"/>
    <n v="0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x v="0"/>
    <n v="3"/>
    <n v="80"/>
    <x v="1"/>
    <n v="19"/>
    <x v="2"/>
    <n v="3"/>
    <n v="10"/>
    <n v="8"/>
    <n v="0"/>
    <n v="1"/>
  </r>
  <r>
    <n v="58"/>
    <x v="1"/>
    <n v="0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x v="0"/>
    <n v="4"/>
    <n v="80"/>
    <x v="1"/>
    <n v="12"/>
    <x v="2"/>
    <n v="3"/>
    <n v="5"/>
    <n v="3"/>
    <n v="1"/>
    <n v="2"/>
  </r>
  <r>
    <n v="31"/>
    <x v="1"/>
    <n v="0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x v="0"/>
    <n v="3"/>
    <n v="80"/>
    <x v="1"/>
    <n v="6"/>
    <x v="5"/>
    <n v="3"/>
    <n v="5"/>
    <n v="2"/>
    <n v="0"/>
    <n v="3"/>
  </r>
  <r>
    <n v="31"/>
    <x v="1"/>
    <n v="0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x v="0"/>
    <n v="4"/>
    <n v="80"/>
    <x v="0"/>
    <n v="9"/>
    <x v="4"/>
    <n v="3"/>
    <n v="2"/>
    <n v="2"/>
    <n v="1"/>
    <n v="0"/>
  </r>
  <r>
    <n v="45"/>
    <x v="1"/>
    <n v="0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x v="0"/>
    <n v="1"/>
    <n v="80"/>
    <x v="1"/>
    <n v="24"/>
    <x v="2"/>
    <n v="3"/>
    <n v="24"/>
    <n v="9"/>
    <n v="9"/>
    <n v="11"/>
  </r>
  <r>
    <n v="31"/>
    <x v="1"/>
    <n v="0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x v="0"/>
    <n v="2"/>
    <n v="80"/>
    <x v="1"/>
    <n v="3"/>
    <x v="2"/>
    <n v="1"/>
    <n v="2"/>
    <n v="2"/>
    <n v="2"/>
    <n v="2"/>
  </r>
  <r>
    <n v="33"/>
    <x v="1"/>
    <n v="0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x v="0"/>
    <n v="2"/>
    <n v="80"/>
    <x v="3"/>
    <n v="12"/>
    <x v="2"/>
    <n v="3"/>
    <n v="10"/>
    <n v="6"/>
    <n v="8"/>
    <n v="8"/>
  </r>
  <r>
    <n v="39"/>
    <x v="1"/>
    <n v="0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x v="0"/>
    <n v="4"/>
    <n v="80"/>
    <x v="0"/>
    <n v="21"/>
    <x v="1"/>
    <n v="3"/>
    <n v="21"/>
    <n v="9"/>
    <n v="11"/>
    <n v="10"/>
  </r>
  <r>
    <n v="43"/>
    <x v="1"/>
    <n v="0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x v="0"/>
    <n v="1"/>
    <n v="80"/>
    <x v="0"/>
    <n v="9"/>
    <x v="3"/>
    <n v="3"/>
    <n v="8"/>
    <n v="7"/>
    <n v="1"/>
    <n v="7"/>
  </r>
  <r>
    <n v="49"/>
    <x v="1"/>
    <n v="0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x v="0"/>
    <n v="4"/>
    <n v="80"/>
    <x v="0"/>
    <n v="25"/>
    <x v="2"/>
    <n v="3"/>
    <n v="7"/>
    <n v="1"/>
    <n v="0"/>
    <n v="7"/>
  </r>
  <r>
    <n v="52"/>
    <x v="0"/>
    <n v="1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x v="0"/>
    <n v="1"/>
    <n v="80"/>
    <x v="0"/>
    <n v="11"/>
    <x v="1"/>
    <n v="2"/>
    <n v="8"/>
    <n v="2"/>
    <n v="7"/>
    <n v="7"/>
  </r>
  <r>
    <n v="27"/>
    <x v="1"/>
    <n v="0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x v="0"/>
    <n v="2"/>
    <n v="80"/>
    <x v="0"/>
    <n v="4"/>
    <x v="2"/>
    <n v="2"/>
    <n v="4"/>
    <n v="3"/>
    <n v="1"/>
    <n v="2"/>
  </r>
  <r>
    <n v="32"/>
    <x v="1"/>
    <n v="0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x v="0"/>
    <n v="4"/>
    <n v="80"/>
    <x v="0"/>
    <n v="13"/>
    <x v="2"/>
    <n v="3"/>
    <n v="13"/>
    <n v="12"/>
    <n v="11"/>
    <n v="9"/>
  </r>
  <r>
    <n v="27"/>
    <x v="1"/>
    <n v="0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x v="0"/>
    <n v="1"/>
    <n v="80"/>
    <x v="0"/>
    <n v="5"/>
    <x v="1"/>
    <n v="3"/>
    <n v="5"/>
    <n v="4"/>
    <n v="0"/>
    <n v="4"/>
  </r>
  <r>
    <n v="31"/>
    <x v="1"/>
    <n v="0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x v="0"/>
    <n v="4"/>
    <n v="80"/>
    <x v="2"/>
    <n v="13"/>
    <x v="1"/>
    <n v="3"/>
    <n v="7"/>
    <n v="7"/>
    <n v="1"/>
    <n v="7"/>
  </r>
  <r>
    <n v="32"/>
    <x v="1"/>
    <n v="0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x v="0"/>
    <n v="3"/>
    <n v="80"/>
    <x v="0"/>
    <n v="10"/>
    <x v="0"/>
    <n v="2"/>
    <n v="7"/>
    <n v="7"/>
    <n v="0"/>
    <n v="7"/>
  </r>
  <r>
    <n v="28"/>
    <x v="0"/>
    <n v="1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x v="0"/>
    <n v="4"/>
    <n v="80"/>
    <x v="0"/>
    <n v="5"/>
    <x v="5"/>
    <n v="2"/>
    <n v="3"/>
    <n v="2"/>
    <n v="2"/>
    <n v="2"/>
  </r>
  <r>
    <n v="30"/>
    <x v="1"/>
    <n v="0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x v="0"/>
    <n v="4"/>
    <n v="80"/>
    <x v="3"/>
    <n v="11"/>
    <x v="2"/>
    <n v="3"/>
    <n v="10"/>
    <n v="8"/>
    <n v="1"/>
    <n v="9"/>
  </r>
  <r>
    <n v="31"/>
    <x v="1"/>
    <n v="0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x v="1"/>
    <n v="1"/>
    <n v="80"/>
    <x v="1"/>
    <n v="10"/>
    <x v="2"/>
    <n v="3"/>
    <n v="10"/>
    <n v="9"/>
    <n v="8"/>
    <n v="9"/>
  </r>
  <r>
    <n v="39"/>
    <x v="1"/>
    <n v="0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x v="0"/>
    <n v="1"/>
    <n v="80"/>
    <x v="1"/>
    <n v="21"/>
    <x v="2"/>
    <n v="3"/>
    <n v="21"/>
    <n v="9"/>
    <n v="13"/>
    <n v="3"/>
  </r>
  <r>
    <n v="39"/>
    <x v="0"/>
    <n v="1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x v="0"/>
    <n v="1"/>
    <n v="80"/>
    <x v="0"/>
    <n v="12"/>
    <x v="1"/>
    <n v="2"/>
    <n v="1"/>
    <n v="0"/>
    <n v="0"/>
    <n v="0"/>
  </r>
  <r>
    <n v="33"/>
    <x v="1"/>
    <n v="0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x v="0"/>
    <n v="3"/>
    <n v="80"/>
    <x v="0"/>
    <n v="9"/>
    <x v="6"/>
    <n v="2"/>
    <n v="7"/>
    <n v="7"/>
    <n v="0"/>
    <n v="1"/>
  </r>
  <r>
    <n v="47"/>
    <x v="1"/>
    <n v="0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x v="0"/>
    <n v="2"/>
    <n v="80"/>
    <x v="1"/>
    <n v="21"/>
    <x v="2"/>
    <n v="3"/>
    <n v="3"/>
    <n v="2"/>
    <n v="1"/>
    <n v="1"/>
  </r>
  <r>
    <n v="43"/>
    <x v="1"/>
    <n v="0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x v="0"/>
    <n v="2"/>
    <n v="80"/>
    <x v="1"/>
    <n v="9"/>
    <x v="1"/>
    <n v="4"/>
    <n v="9"/>
    <n v="7"/>
    <n v="0"/>
    <n v="0"/>
  </r>
  <r>
    <n v="27"/>
    <x v="1"/>
    <n v="0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x v="0"/>
    <n v="4"/>
    <n v="80"/>
    <x v="1"/>
    <n v="6"/>
    <x v="0"/>
    <n v="3"/>
    <n v="5"/>
    <n v="4"/>
    <n v="1"/>
    <n v="4"/>
  </r>
  <r>
    <n v="54"/>
    <x v="1"/>
    <n v="0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x v="0"/>
    <n v="4"/>
    <n v="80"/>
    <x v="0"/>
    <n v="20"/>
    <x v="5"/>
    <n v="2"/>
    <n v="4"/>
    <n v="3"/>
    <n v="0"/>
    <n v="3"/>
  </r>
  <r>
    <n v="43"/>
    <x v="1"/>
    <n v="0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x v="0"/>
    <n v="1"/>
    <n v="80"/>
    <x v="1"/>
    <n v="10"/>
    <x v="4"/>
    <n v="2"/>
    <n v="1"/>
    <n v="0"/>
    <n v="0"/>
    <n v="0"/>
  </r>
  <r>
    <n v="45"/>
    <x v="1"/>
    <n v="0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x v="0"/>
    <n v="1"/>
    <n v="80"/>
    <x v="3"/>
    <n v="12"/>
    <x v="1"/>
    <n v="3"/>
    <n v="10"/>
    <n v="9"/>
    <n v="9"/>
    <n v="8"/>
  </r>
  <r>
    <n v="40"/>
    <x v="1"/>
    <n v="0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x v="1"/>
    <n v="3"/>
    <n v="80"/>
    <x v="2"/>
    <n v="6"/>
    <x v="2"/>
    <n v="2"/>
    <n v="4"/>
    <n v="3"/>
    <n v="0"/>
    <n v="2"/>
  </r>
  <r>
    <n v="29"/>
    <x v="0"/>
    <n v="1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x v="0"/>
    <n v="4"/>
    <n v="80"/>
    <x v="0"/>
    <n v="7"/>
    <x v="5"/>
    <n v="2"/>
    <n v="7"/>
    <n v="7"/>
    <n v="0"/>
    <n v="7"/>
  </r>
  <r>
    <n v="29"/>
    <x v="1"/>
    <n v="0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x v="0"/>
    <n v="3"/>
    <n v="80"/>
    <x v="0"/>
    <n v="4"/>
    <x v="2"/>
    <n v="3"/>
    <n v="3"/>
    <n v="2"/>
    <n v="2"/>
    <n v="2"/>
  </r>
  <r>
    <n v="30"/>
    <x v="1"/>
    <n v="0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x v="0"/>
    <n v="3"/>
    <n v="80"/>
    <x v="2"/>
    <n v="10"/>
    <x v="2"/>
    <n v="3"/>
    <n v="10"/>
    <n v="9"/>
    <n v="1"/>
    <n v="2"/>
  </r>
  <r>
    <n v="27"/>
    <x v="1"/>
    <n v="0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x v="0"/>
    <n v="1"/>
    <n v="80"/>
    <x v="1"/>
    <n v="8"/>
    <x v="1"/>
    <n v="3"/>
    <n v="8"/>
    <n v="7"/>
    <n v="0"/>
    <n v="7"/>
  </r>
  <r>
    <n v="37"/>
    <x v="1"/>
    <n v="0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x v="0"/>
    <n v="3"/>
    <n v="80"/>
    <x v="3"/>
    <n v="8"/>
    <x v="2"/>
    <n v="2"/>
    <n v="6"/>
    <n v="2"/>
    <n v="0"/>
    <n v="4"/>
  </r>
  <r>
    <n v="38"/>
    <x v="1"/>
    <n v="0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x v="0"/>
    <n v="2"/>
    <n v="80"/>
    <x v="1"/>
    <n v="12"/>
    <x v="1"/>
    <n v="3"/>
    <n v="11"/>
    <n v="10"/>
    <n v="2"/>
    <n v="9"/>
  </r>
  <r>
    <n v="31"/>
    <x v="1"/>
    <n v="0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x v="0"/>
    <n v="3"/>
    <n v="80"/>
    <x v="0"/>
    <n v="11"/>
    <x v="2"/>
    <n v="2"/>
    <n v="11"/>
    <n v="9"/>
    <n v="4"/>
    <n v="10"/>
  </r>
  <r>
    <n v="29"/>
    <x v="1"/>
    <n v="0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x v="0"/>
    <n v="1"/>
    <n v="80"/>
    <x v="3"/>
    <n v="7"/>
    <x v="2"/>
    <n v="3"/>
    <n v="7"/>
    <n v="7"/>
    <n v="1"/>
    <n v="7"/>
  </r>
  <r>
    <n v="35"/>
    <x v="1"/>
    <n v="0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x v="0"/>
    <n v="4"/>
    <n v="80"/>
    <x v="0"/>
    <n v="17"/>
    <x v="3"/>
    <n v="3"/>
    <n v="16"/>
    <n v="6"/>
    <n v="0"/>
    <n v="13"/>
  </r>
  <r>
    <n v="23"/>
    <x v="1"/>
    <n v="0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x v="0"/>
    <n v="3"/>
    <n v="80"/>
    <x v="3"/>
    <n v="4"/>
    <x v="2"/>
    <n v="2"/>
    <n v="4"/>
    <n v="2"/>
    <n v="0"/>
    <n v="2"/>
  </r>
  <r>
    <n v="41"/>
    <x v="1"/>
    <n v="0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x v="0"/>
    <n v="4"/>
    <n v="80"/>
    <x v="0"/>
    <n v="8"/>
    <x v="1"/>
    <n v="3"/>
    <n v="5"/>
    <n v="4"/>
    <n v="1"/>
    <n v="2"/>
  </r>
  <r>
    <n v="47"/>
    <x v="1"/>
    <n v="0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x v="0"/>
    <n v="1"/>
    <n v="80"/>
    <x v="0"/>
    <n v="5"/>
    <x v="1"/>
    <n v="3"/>
    <n v="0"/>
    <n v="0"/>
    <n v="0"/>
    <n v="0"/>
  </r>
  <r>
    <n v="42"/>
    <x v="1"/>
    <n v="0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x v="0"/>
    <n v="2"/>
    <n v="80"/>
    <x v="0"/>
    <n v="16"/>
    <x v="2"/>
    <n v="3"/>
    <n v="1"/>
    <n v="0"/>
    <n v="0"/>
    <n v="0"/>
  </r>
  <r>
    <n v="29"/>
    <x v="1"/>
    <n v="0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x v="0"/>
    <n v="1"/>
    <n v="80"/>
    <x v="1"/>
    <n v="4"/>
    <x v="1"/>
    <n v="2"/>
    <n v="4"/>
    <n v="3"/>
    <n v="0"/>
    <n v="2"/>
  </r>
  <r>
    <n v="42"/>
    <x v="1"/>
    <n v="0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x v="0"/>
    <n v="3"/>
    <n v="80"/>
    <x v="1"/>
    <n v="4"/>
    <x v="3"/>
    <n v="3"/>
    <n v="3"/>
    <n v="2"/>
    <n v="1"/>
    <n v="0"/>
  </r>
  <r>
    <n v="32"/>
    <x v="1"/>
    <n v="0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x v="0"/>
    <n v="3"/>
    <n v="80"/>
    <x v="1"/>
    <n v="8"/>
    <x v="5"/>
    <n v="3"/>
    <n v="8"/>
    <n v="0"/>
    <n v="0"/>
    <n v="7"/>
  </r>
  <r>
    <n v="48"/>
    <x v="1"/>
    <n v="0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x v="1"/>
    <n v="2"/>
    <n v="80"/>
    <x v="1"/>
    <n v="15"/>
    <x v="1"/>
    <n v="1"/>
    <n v="0"/>
    <n v="0"/>
    <n v="0"/>
    <n v="0"/>
  </r>
  <r>
    <n v="37"/>
    <x v="1"/>
    <n v="0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x v="0"/>
    <n v="1"/>
    <n v="80"/>
    <x v="3"/>
    <n v="13"/>
    <x v="2"/>
    <n v="3"/>
    <n v="7"/>
    <n v="7"/>
    <n v="6"/>
    <n v="7"/>
  </r>
  <r>
    <n v="30"/>
    <x v="1"/>
    <n v="0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x v="0"/>
    <n v="2"/>
    <n v="80"/>
    <x v="1"/>
    <n v="4"/>
    <x v="2"/>
    <n v="4"/>
    <n v="2"/>
    <n v="2"/>
    <n v="2"/>
    <n v="2"/>
  </r>
  <r>
    <n v="26"/>
    <x v="1"/>
    <n v="0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x v="0"/>
    <n v="2"/>
    <n v="80"/>
    <x v="1"/>
    <n v="8"/>
    <x v="1"/>
    <n v="3"/>
    <n v="8"/>
    <n v="7"/>
    <n v="7"/>
    <n v="7"/>
  </r>
  <r>
    <n v="42"/>
    <x v="1"/>
    <n v="0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x v="1"/>
    <n v="2"/>
    <n v="80"/>
    <x v="0"/>
    <n v="14"/>
    <x v="6"/>
    <n v="3"/>
    <n v="1"/>
    <n v="0"/>
    <n v="0"/>
    <n v="0"/>
  </r>
  <r>
    <n v="21"/>
    <x v="0"/>
    <n v="1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x v="0"/>
    <n v="3"/>
    <n v="80"/>
    <x v="0"/>
    <n v="3"/>
    <x v="1"/>
    <n v="3"/>
    <n v="3"/>
    <n v="2"/>
    <n v="1"/>
    <n v="2"/>
  </r>
  <r>
    <n v="36"/>
    <x v="1"/>
    <n v="0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x v="0"/>
    <n v="2"/>
    <n v="80"/>
    <x v="0"/>
    <n v="7"/>
    <x v="6"/>
    <n v="3"/>
    <n v="1"/>
    <n v="0"/>
    <n v="0"/>
    <n v="0"/>
  </r>
  <r>
    <n v="36"/>
    <x v="1"/>
    <n v="0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x v="0"/>
    <n v="1"/>
    <n v="80"/>
    <x v="1"/>
    <n v="16"/>
    <x v="2"/>
    <n v="3"/>
    <n v="13"/>
    <n v="9"/>
    <n v="1"/>
    <n v="12"/>
  </r>
  <r>
    <n v="57"/>
    <x v="1"/>
    <n v="0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x v="0"/>
    <n v="3"/>
    <n v="80"/>
    <x v="0"/>
    <n v="15"/>
    <x v="2"/>
    <n v="3"/>
    <n v="3"/>
    <n v="2"/>
    <n v="1"/>
    <n v="2"/>
  </r>
  <r>
    <n v="40"/>
    <x v="1"/>
    <n v="0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x v="0"/>
    <n v="3"/>
    <n v="80"/>
    <x v="1"/>
    <n v="10"/>
    <x v="1"/>
    <n v="3"/>
    <n v="7"/>
    <n v="7"/>
    <n v="1"/>
    <n v="7"/>
  </r>
  <r>
    <n v="21"/>
    <x v="1"/>
    <n v="0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x v="1"/>
    <n v="3"/>
    <n v="80"/>
    <x v="0"/>
    <n v="3"/>
    <x v="1"/>
    <n v="2"/>
    <n v="3"/>
    <n v="2"/>
    <n v="2"/>
    <n v="2"/>
  </r>
  <r>
    <n v="33"/>
    <x v="0"/>
    <n v="1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x v="0"/>
    <n v="2"/>
    <n v="80"/>
    <x v="0"/>
    <n v="1"/>
    <x v="2"/>
    <n v="3"/>
    <n v="1"/>
    <n v="0"/>
    <n v="0"/>
    <n v="0"/>
  </r>
  <r>
    <n v="37"/>
    <x v="1"/>
    <n v="0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x v="1"/>
    <n v="2"/>
    <n v="80"/>
    <x v="1"/>
    <n v="17"/>
    <x v="1"/>
    <n v="3"/>
    <n v="5"/>
    <n v="4"/>
    <n v="0"/>
    <n v="3"/>
  </r>
  <r>
    <n v="46"/>
    <x v="1"/>
    <n v="0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x v="0"/>
    <n v="3"/>
    <n v="80"/>
    <x v="0"/>
    <n v="7"/>
    <x v="2"/>
    <n v="4"/>
    <n v="1"/>
    <n v="0"/>
    <n v="0"/>
    <n v="0"/>
  </r>
  <r>
    <n v="41"/>
    <x v="0"/>
    <n v="1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x v="0"/>
    <n v="3"/>
    <n v="80"/>
    <x v="0"/>
    <n v="8"/>
    <x v="3"/>
    <n v="3"/>
    <n v="8"/>
    <n v="7"/>
    <n v="7"/>
    <n v="7"/>
  </r>
  <r>
    <n v="50"/>
    <x v="1"/>
    <n v="0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x v="0"/>
    <n v="4"/>
    <n v="80"/>
    <x v="0"/>
    <n v="20"/>
    <x v="2"/>
    <n v="3"/>
    <n v="4"/>
    <n v="3"/>
    <n v="1"/>
    <n v="3"/>
  </r>
  <r>
    <n v="40"/>
    <x v="0"/>
    <n v="1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x v="0"/>
    <n v="1"/>
    <n v="80"/>
    <x v="3"/>
    <n v="8"/>
    <x v="6"/>
    <n v="3"/>
    <n v="6"/>
    <n v="4"/>
    <n v="1"/>
    <n v="0"/>
  </r>
  <r>
    <n v="31"/>
    <x v="1"/>
    <n v="0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x v="0"/>
    <n v="4"/>
    <n v="80"/>
    <x v="0"/>
    <n v="3"/>
    <x v="3"/>
    <n v="3"/>
    <n v="2"/>
    <n v="2"/>
    <n v="2"/>
    <n v="2"/>
  </r>
  <r>
    <n v="21"/>
    <x v="0"/>
    <n v="1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x v="0"/>
    <n v="4"/>
    <n v="80"/>
    <x v="0"/>
    <n v="1"/>
    <x v="0"/>
    <n v="3"/>
    <n v="1"/>
    <n v="0"/>
    <n v="0"/>
    <n v="0"/>
  </r>
  <r>
    <n v="29"/>
    <x v="1"/>
    <n v="0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x v="0"/>
    <n v="4"/>
    <n v="80"/>
    <x v="0"/>
    <n v="6"/>
    <x v="5"/>
    <n v="3"/>
    <n v="3"/>
    <n v="2"/>
    <n v="1"/>
    <n v="2"/>
  </r>
  <r>
    <n v="35"/>
    <x v="1"/>
    <n v="0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x v="0"/>
    <n v="3"/>
    <n v="80"/>
    <x v="0"/>
    <n v="10"/>
    <x v="3"/>
    <n v="3"/>
    <n v="1"/>
    <n v="1"/>
    <n v="0"/>
    <n v="0"/>
  </r>
  <r>
    <n v="27"/>
    <x v="1"/>
    <n v="0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x v="0"/>
    <n v="2"/>
    <n v="80"/>
    <x v="1"/>
    <n v="5"/>
    <x v="2"/>
    <n v="3"/>
    <n v="5"/>
    <n v="2"/>
    <n v="0"/>
    <n v="4"/>
  </r>
  <r>
    <n v="28"/>
    <x v="1"/>
    <n v="0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x v="0"/>
    <n v="4"/>
    <n v="80"/>
    <x v="0"/>
    <n v="7"/>
    <x v="4"/>
    <n v="3"/>
    <n v="7"/>
    <n v="5"/>
    <n v="0"/>
    <n v="7"/>
  </r>
  <r>
    <n v="49"/>
    <x v="1"/>
    <n v="0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x v="1"/>
    <n v="3"/>
    <n v="80"/>
    <x v="0"/>
    <n v="26"/>
    <x v="2"/>
    <n v="3"/>
    <n v="5"/>
    <n v="2"/>
    <n v="0"/>
    <n v="0"/>
  </r>
  <r>
    <n v="51"/>
    <x v="1"/>
    <n v="0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x v="0"/>
    <n v="3"/>
    <n v="80"/>
    <x v="1"/>
    <n v="18"/>
    <x v="2"/>
    <n v="2"/>
    <n v="7"/>
    <n v="7"/>
    <n v="0"/>
    <n v="7"/>
  </r>
  <r>
    <n v="36"/>
    <x v="1"/>
    <n v="0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x v="0"/>
    <n v="2"/>
    <n v="80"/>
    <x v="1"/>
    <n v="6"/>
    <x v="1"/>
    <n v="3"/>
    <n v="2"/>
    <n v="2"/>
    <n v="2"/>
    <n v="2"/>
  </r>
  <r>
    <n v="34"/>
    <x v="0"/>
    <n v="1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x v="0"/>
    <n v="2"/>
    <n v="80"/>
    <x v="0"/>
    <n v="9"/>
    <x v="1"/>
    <n v="2"/>
    <n v="5"/>
    <n v="2"/>
    <n v="0"/>
    <n v="4"/>
  </r>
  <r>
    <n v="55"/>
    <x v="1"/>
    <n v="0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x v="0"/>
    <n v="3"/>
    <n v="80"/>
    <x v="0"/>
    <n v="30"/>
    <x v="2"/>
    <n v="3"/>
    <n v="5"/>
    <n v="4"/>
    <n v="1"/>
    <n v="2"/>
  </r>
  <r>
    <n v="24"/>
    <x v="1"/>
    <n v="0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x v="0"/>
    <n v="4"/>
    <n v="80"/>
    <x v="1"/>
    <n v="5"/>
    <x v="2"/>
    <n v="4"/>
    <n v="5"/>
    <n v="2"/>
    <n v="0"/>
    <n v="3"/>
  </r>
  <r>
    <n v="30"/>
    <x v="1"/>
    <n v="0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x v="0"/>
    <n v="1"/>
    <n v="80"/>
    <x v="1"/>
    <n v="1"/>
    <x v="1"/>
    <n v="3"/>
    <n v="1"/>
    <n v="0"/>
    <n v="0"/>
    <n v="0"/>
  </r>
  <r>
    <n v="26"/>
    <x v="0"/>
    <n v="1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x v="1"/>
    <n v="3"/>
    <n v="80"/>
    <x v="0"/>
    <n v="7"/>
    <x v="2"/>
    <n v="3"/>
    <n v="6"/>
    <n v="4"/>
    <n v="0"/>
    <n v="4"/>
  </r>
  <r>
    <n v="22"/>
    <x v="1"/>
    <n v="0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x v="0"/>
    <n v="4"/>
    <n v="80"/>
    <x v="1"/>
    <n v="2"/>
    <x v="4"/>
    <n v="3"/>
    <n v="2"/>
    <n v="1"/>
    <n v="1"/>
    <n v="2"/>
  </r>
  <r>
    <n v="36"/>
    <x v="1"/>
    <n v="0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x v="0"/>
    <n v="2"/>
    <n v="80"/>
    <x v="3"/>
    <n v="10"/>
    <x v="2"/>
    <n v="3"/>
    <n v="10"/>
    <n v="9"/>
    <n v="9"/>
    <n v="0"/>
  </r>
  <r>
    <n v="30"/>
    <x v="0"/>
    <n v="1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x v="1"/>
    <n v="3"/>
    <n v="80"/>
    <x v="0"/>
    <n v="3"/>
    <x v="5"/>
    <n v="3"/>
    <n v="1"/>
    <n v="0"/>
    <n v="0"/>
    <n v="0"/>
  </r>
  <r>
    <n v="37"/>
    <x v="1"/>
    <n v="0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x v="0"/>
    <n v="3"/>
    <n v="80"/>
    <x v="1"/>
    <n v="18"/>
    <x v="2"/>
    <n v="2"/>
    <n v="18"/>
    <n v="7"/>
    <n v="12"/>
    <n v="17"/>
  </r>
  <r>
    <n v="40"/>
    <x v="1"/>
    <n v="0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x v="0"/>
    <n v="3"/>
    <n v="80"/>
    <x v="3"/>
    <n v="8"/>
    <x v="3"/>
    <n v="3"/>
    <n v="5"/>
    <n v="4"/>
    <n v="1"/>
    <n v="3"/>
  </r>
  <r>
    <n v="42"/>
    <x v="1"/>
    <n v="0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x v="0"/>
    <n v="2"/>
    <n v="80"/>
    <x v="1"/>
    <n v="8"/>
    <x v="3"/>
    <n v="3"/>
    <n v="5"/>
    <n v="2"/>
    <n v="1"/>
    <n v="2"/>
  </r>
  <r>
    <n v="37"/>
    <x v="1"/>
    <n v="0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x v="0"/>
    <n v="4"/>
    <n v="80"/>
    <x v="0"/>
    <n v="18"/>
    <x v="2"/>
    <n v="2"/>
    <n v="1"/>
    <n v="0"/>
    <n v="0"/>
    <n v="1"/>
  </r>
  <r>
    <n v="43"/>
    <x v="1"/>
    <n v="0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x v="0"/>
    <n v="3"/>
    <n v="80"/>
    <x v="1"/>
    <n v="25"/>
    <x v="1"/>
    <n v="3"/>
    <n v="25"/>
    <n v="10"/>
    <n v="3"/>
    <n v="9"/>
  </r>
  <r>
    <n v="40"/>
    <x v="1"/>
    <n v="0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x v="1"/>
    <n v="2"/>
    <n v="80"/>
    <x v="1"/>
    <n v="20"/>
    <x v="1"/>
    <n v="3"/>
    <n v="1"/>
    <n v="0"/>
    <n v="0"/>
    <n v="0"/>
  </r>
  <r>
    <n v="54"/>
    <x v="1"/>
    <n v="0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x v="0"/>
    <n v="3"/>
    <n v="80"/>
    <x v="1"/>
    <n v="24"/>
    <x v="5"/>
    <n v="2"/>
    <n v="4"/>
    <n v="2"/>
    <n v="1"/>
    <n v="2"/>
  </r>
  <r>
    <n v="34"/>
    <x v="1"/>
    <n v="0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x v="0"/>
    <n v="1"/>
    <n v="80"/>
    <x v="1"/>
    <n v="6"/>
    <x v="1"/>
    <n v="3"/>
    <n v="3"/>
    <n v="2"/>
    <n v="1"/>
    <n v="2"/>
  </r>
  <r>
    <n v="31"/>
    <x v="1"/>
    <n v="0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x v="0"/>
    <n v="2"/>
    <n v="80"/>
    <x v="1"/>
    <n v="13"/>
    <x v="3"/>
    <n v="1"/>
    <n v="13"/>
    <n v="10"/>
    <n v="3"/>
    <n v="12"/>
  </r>
  <r>
    <n v="43"/>
    <x v="1"/>
    <n v="0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x v="1"/>
    <n v="1"/>
    <n v="80"/>
    <x v="1"/>
    <n v="8"/>
    <x v="4"/>
    <n v="3"/>
    <n v="3"/>
    <n v="2"/>
    <n v="1"/>
    <n v="2"/>
  </r>
  <r>
    <n v="43"/>
    <x v="1"/>
    <n v="0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x v="0"/>
    <n v="4"/>
    <n v="80"/>
    <x v="0"/>
    <n v="8"/>
    <x v="1"/>
    <n v="3"/>
    <n v="5"/>
    <n v="2"/>
    <n v="0"/>
    <n v="2"/>
  </r>
  <r>
    <n v="25"/>
    <x v="1"/>
    <n v="0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x v="0"/>
    <n v="2"/>
    <n v="80"/>
    <x v="0"/>
    <n v="5"/>
    <x v="1"/>
    <n v="3"/>
    <n v="5"/>
    <n v="4"/>
    <n v="1"/>
    <n v="3"/>
  </r>
  <r>
    <n v="37"/>
    <x v="1"/>
    <n v="0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x v="0"/>
    <n v="1"/>
    <n v="80"/>
    <x v="3"/>
    <n v="15"/>
    <x v="2"/>
    <n v="3"/>
    <n v="13"/>
    <n v="11"/>
    <n v="10"/>
    <n v="7"/>
  </r>
  <r>
    <n v="31"/>
    <x v="1"/>
    <n v="0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x v="0"/>
    <n v="3"/>
    <n v="80"/>
    <x v="1"/>
    <n v="4"/>
    <x v="1"/>
    <n v="3"/>
    <n v="4"/>
    <n v="2"/>
    <n v="3"/>
    <n v="2"/>
  </r>
  <r>
    <n v="39"/>
    <x v="1"/>
    <n v="0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x v="0"/>
    <n v="3"/>
    <n v="80"/>
    <x v="1"/>
    <n v="21"/>
    <x v="1"/>
    <n v="3"/>
    <n v="21"/>
    <n v="8"/>
    <n v="1"/>
    <n v="6"/>
  </r>
  <r>
    <n v="56"/>
    <x v="1"/>
    <n v="0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x v="0"/>
    <n v="4"/>
    <n v="80"/>
    <x v="2"/>
    <n v="36"/>
    <x v="0"/>
    <n v="2"/>
    <n v="7"/>
    <n v="7"/>
    <n v="7"/>
    <n v="7"/>
  </r>
  <r>
    <n v="30"/>
    <x v="1"/>
    <n v="0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x v="0"/>
    <n v="2"/>
    <n v="80"/>
    <x v="0"/>
    <n v="6"/>
    <x v="6"/>
    <n v="3"/>
    <n v="5"/>
    <n v="4"/>
    <n v="4"/>
    <n v="4"/>
  </r>
  <r>
    <n v="41"/>
    <x v="1"/>
    <n v="0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x v="0"/>
    <n v="3"/>
    <n v="80"/>
    <x v="1"/>
    <n v="10"/>
    <x v="2"/>
    <n v="3"/>
    <n v="10"/>
    <n v="7"/>
    <n v="0"/>
    <n v="7"/>
  </r>
  <r>
    <n v="28"/>
    <x v="1"/>
    <n v="0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x v="0"/>
    <n v="4"/>
    <n v="80"/>
    <x v="1"/>
    <n v="10"/>
    <x v="2"/>
    <n v="3"/>
    <n v="10"/>
    <n v="0"/>
    <n v="1"/>
    <n v="8"/>
  </r>
  <r>
    <n v="25"/>
    <x v="0"/>
    <n v="1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x v="0"/>
    <n v="3"/>
    <n v="80"/>
    <x v="1"/>
    <n v="6"/>
    <x v="3"/>
    <n v="3"/>
    <n v="2"/>
    <n v="2"/>
    <n v="0"/>
    <n v="2"/>
  </r>
  <r>
    <n v="52"/>
    <x v="1"/>
    <n v="0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x v="0"/>
    <n v="3"/>
    <n v="80"/>
    <x v="0"/>
    <n v="28"/>
    <x v="5"/>
    <n v="3"/>
    <n v="5"/>
    <n v="4"/>
    <n v="0"/>
    <n v="4"/>
  </r>
  <r>
    <n v="45"/>
    <x v="1"/>
    <n v="0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x v="1"/>
    <n v="4"/>
    <n v="80"/>
    <x v="3"/>
    <n v="8"/>
    <x v="1"/>
    <n v="2"/>
    <n v="2"/>
    <n v="2"/>
    <n v="0"/>
    <n v="2"/>
  </r>
  <r>
    <n v="52"/>
    <x v="1"/>
    <n v="0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x v="0"/>
    <n v="4"/>
    <n v="80"/>
    <x v="0"/>
    <n v="31"/>
    <x v="2"/>
    <n v="1"/>
    <n v="5"/>
    <n v="2"/>
    <n v="1"/>
    <n v="4"/>
  </r>
  <r>
    <n v="42"/>
    <x v="1"/>
    <n v="0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x v="0"/>
    <n v="2"/>
    <n v="80"/>
    <x v="1"/>
    <n v="19"/>
    <x v="1"/>
    <n v="3"/>
    <n v="5"/>
    <n v="4"/>
    <n v="0"/>
    <n v="2"/>
  </r>
  <r>
    <n v="30"/>
    <x v="1"/>
    <n v="0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x v="1"/>
    <n v="3"/>
    <n v="80"/>
    <x v="0"/>
    <n v="11"/>
    <x v="2"/>
    <n v="3"/>
    <n v="5"/>
    <n v="4"/>
    <n v="0"/>
    <n v="2"/>
  </r>
  <r>
    <n v="60"/>
    <x v="1"/>
    <n v="0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x v="0"/>
    <n v="4"/>
    <n v="80"/>
    <x v="0"/>
    <n v="33"/>
    <x v="3"/>
    <n v="1"/>
    <n v="29"/>
    <n v="8"/>
    <n v="11"/>
    <n v="10"/>
  </r>
  <r>
    <n v="46"/>
    <x v="1"/>
    <n v="0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x v="0"/>
    <n v="3"/>
    <n v="80"/>
    <x v="1"/>
    <n v="19"/>
    <x v="3"/>
    <n v="2"/>
    <n v="10"/>
    <n v="7"/>
    <n v="0"/>
    <n v="8"/>
  </r>
  <r>
    <n v="42"/>
    <x v="1"/>
    <n v="0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x v="0"/>
    <n v="4"/>
    <n v="80"/>
    <x v="2"/>
    <n v="7"/>
    <x v="5"/>
    <n v="4"/>
    <n v="6"/>
    <n v="5"/>
    <n v="0"/>
    <n v="4"/>
  </r>
  <r>
    <n v="24"/>
    <x v="0"/>
    <n v="1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x v="0"/>
    <n v="2"/>
    <n v="80"/>
    <x v="0"/>
    <n v="6"/>
    <x v="5"/>
    <n v="3"/>
    <n v="5"/>
    <n v="3"/>
    <n v="1"/>
    <n v="4"/>
  </r>
  <r>
    <n v="34"/>
    <x v="0"/>
    <n v="1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x v="0"/>
    <n v="4"/>
    <n v="80"/>
    <x v="1"/>
    <n v="3"/>
    <x v="1"/>
    <n v="2"/>
    <n v="2"/>
    <n v="2"/>
    <n v="1"/>
    <n v="0"/>
  </r>
  <r>
    <n v="38"/>
    <x v="1"/>
    <n v="0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x v="1"/>
    <n v="3"/>
    <n v="80"/>
    <x v="1"/>
    <n v="1"/>
    <x v="1"/>
    <n v="3"/>
    <n v="1"/>
    <n v="0"/>
    <n v="0"/>
    <n v="0"/>
  </r>
  <r>
    <n v="40"/>
    <x v="1"/>
    <n v="0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x v="0"/>
    <n v="4"/>
    <n v="80"/>
    <x v="0"/>
    <n v="21"/>
    <x v="2"/>
    <n v="3"/>
    <n v="20"/>
    <n v="15"/>
    <n v="1"/>
    <n v="12"/>
  </r>
  <r>
    <n v="26"/>
    <x v="1"/>
    <n v="0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x v="1"/>
    <n v="2"/>
    <n v="80"/>
    <x v="3"/>
    <n v="3"/>
    <x v="1"/>
    <n v="1"/>
    <n v="3"/>
    <n v="2"/>
    <n v="0"/>
    <n v="2"/>
  </r>
  <r>
    <n v="30"/>
    <x v="1"/>
    <n v="0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x v="0"/>
    <n v="3"/>
    <n v="80"/>
    <x v="1"/>
    <n v="9"/>
    <x v="1"/>
    <n v="1"/>
    <n v="5"/>
    <n v="3"/>
    <n v="1"/>
    <n v="4"/>
  </r>
  <r>
    <n v="29"/>
    <x v="1"/>
    <n v="0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x v="0"/>
    <n v="3"/>
    <n v="80"/>
    <x v="0"/>
    <n v="10"/>
    <x v="2"/>
    <n v="3"/>
    <n v="10"/>
    <n v="2"/>
    <n v="0"/>
    <n v="7"/>
  </r>
  <r>
    <n v="29"/>
    <x v="0"/>
    <n v="1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x v="0"/>
    <n v="2"/>
    <n v="80"/>
    <x v="0"/>
    <n v="6"/>
    <x v="2"/>
    <n v="4"/>
    <n v="2"/>
    <n v="2"/>
    <n v="1"/>
    <n v="1"/>
  </r>
  <r>
    <n v="19"/>
    <x v="0"/>
    <n v="1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x v="0"/>
    <n v="3"/>
    <n v="80"/>
    <x v="0"/>
    <n v="1"/>
    <x v="1"/>
    <n v="4"/>
    <n v="1"/>
    <n v="0"/>
    <n v="0"/>
    <n v="0"/>
  </r>
  <r>
    <n v="30"/>
    <x v="1"/>
    <n v="0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x v="0"/>
    <n v="3"/>
    <n v="80"/>
    <x v="0"/>
    <n v="10"/>
    <x v="1"/>
    <n v="3"/>
    <n v="9"/>
    <n v="8"/>
    <n v="7"/>
    <n v="8"/>
  </r>
  <r>
    <n v="57"/>
    <x v="1"/>
    <n v="0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x v="0"/>
    <n v="3"/>
    <n v="80"/>
    <x v="1"/>
    <n v="32"/>
    <x v="1"/>
    <n v="2"/>
    <n v="1"/>
    <n v="0"/>
    <n v="0"/>
    <n v="0"/>
  </r>
  <r>
    <n v="50"/>
    <x v="1"/>
    <n v="0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x v="0"/>
    <n v="2"/>
    <n v="80"/>
    <x v="1"/>
    <n v="28"/>
    <x v="2"/>
    <n v="3"/>
    <n v="27"/>
    <n v="10"/>
    <n v="15"/>
    <n v="7"/>
  </r>
  <r>
    <n v="30"/>
    <x v="1"/>
    <n v="0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x v="0"/>
    <n v="3"/>
    <n v="80"/>
    <x v="0"/>
    <n v="12"/>
    <x v="2"/>
    <n v="2"/>
    <n v="11"/>
    <n v="7"/>
    <n v="6"/>
    <n v="7"/>
  </r>
  <r>
    <n v="60"/>
    <x v="1"/>
    <n v="0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x v="0"/>
    <n v="4"/>
    <n v="80"/>
    <x v="0"/>
    <n v="22"/>
    <x v="3"/>
    <n v="4"/>
    <n v="18"/>
    <n v="13"/>
    <n v="13"/>
    <n v="11"/>
  </r>
  <r>
    <n v="47"/>
    <x v="1"/>
    <n v="0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x v="0"/>
    <n v="3"/>
    <n v="80"/>
    <x v="2"/>
    <n v="20"/>
    <x v="2"/>
    <n v="3"/>
    <n v="5"/>
    <n v="0"/>
    <n v="0"/>
    <n v="4"/>
  </r>
  <r>
    <n v="46"/>
    <x v="1"/>
    <n v="0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x v="0"/>
    <n v="3"/>
    <n v="80"/>
    <x v="0"/>
    <n v="26"/>
    <x v="2"/>
    <n v="1"/>
    <n v="3"/>
    <n v="2"/>
    <n v="0"/>
    <n v="1"/>
  </r>
  <r>
    <n v="35"/>
    <x v="1"/>
    <n v="0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x v="0"/>
    <n v="3"/>
    <n v="80"/>
    <x v="0"/>
    <n v="6"/>
    <x v="2"/>
    <n v="3"/>
    <n v="5"/>
    <n v="4"/>
    <n v="4"/>
    <n v="3"/>
  </r>
  <r>
    <n v="54"/>
    <x v="1"/>
    <n v="0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x v="0"/>
    <n v="3"/>
    <n v="80"/>
    <x v="0"/>
    <n v="19"/>
    <x v="1"/>
    <n v="3"/>
    <n v="1"/>
    <n v="0"/>
    <n v="0"/>
    <n v="0"/>
  </r>
  <r>
    <n v="34"/>
    <x v="1"/>
    <n v="0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x v="0"/>
    <n v="3"/>
    <n v="80"/>
    <x v="1"/>
    <n v="14"/>
    <x v="1"/>
    <n v="3"/>
    <n v="7"/>
    <n v="3"/>
    <n v="5"/>
    <n v="7"/>
  </r>
  <r>
    <n v="46"/>
    <x v="1"/>
    <n v="0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x v="0"/>
    <n v="3"/>
    <n v="80"/>
    <x v="1"/>
    <n v="15"/>
    <x v="1"/>
    <n v="3"/>
    <n v="3"/>
    <n v="2"/>
    <n v="1"/>
    <n v="2"/>
  </r>
  <r>
    <n v="31"/>
    <x v="1"/>
    <n v="0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x v="1"/>
    <n v="4"/>
    <n v="80"/>
    <x v="1"/>
    <n v="13"/>
    <x v="6"/>
    <n v="4"/>
    <n v="13"/>
    <n v="8"/>
    <n v="0"/>
    <n v="8"/>
  </r>
  <r>
    <n v="33"/>
    <x v="0"/>
    <n v="1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x v="0"/>
    <n v="4"/>
    <n v="80"/>
    <x v="0"/>
    <n v="15"/>
    <x v="2"/>
    <n v="4"/>
    <n v="7"/>
    <n v="6"/>
    <n v="7"/>
    <n v="7"/>
  </r>
  <r>
    <n v="33"/>
    <x v="0"/>
    <n v="1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x v="0"/>
    <n v="1"/>
    <n v="80"/>
    <x v="2"/>
    <n v="8"/>
    <x v="2"/>
    <n v="3"/>
    <n v="4"/>
    <n v="3"/>
    <n v="1"/>
    <n v="3"/>
  </r>
  <r>
    <n v="30"/>
    <x v="1"/>
    <n v="0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x v="0"/>
    <n v="1"/>
    <n v="80"/>
    <x v="0"/>
    <n v="4"/>
    <x v="1"/>
    <n v="3"/>
    <n v="3"/>
    <n v="2"/>
    <n v="1"/>
    <n v="2"/>
  </r>
  <r>
    <n v="35"/>
    <x v="1"/>
    <n v="0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x v="0"/>
    <n v="3"/>
    <n v="80"/>
    <x v="0"/>
    <n v="10"/>
    <x v="2"/>
    <n v="3"/>
    <n v="8"/>
    <n v="7"/>
    <n v="0"/>
    <n v="0"/>
  </r>
  <r>
    <n v="31"/>
    <x v="0"/>
    <n v="1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x v="0"/>
    <n v="1"/>
    <n v="80"/>
    <x v="0"/>
    <n v="12"/>
    <x v="2"/>
    <n v="3"/>
    <n v="1"/>
    <n v="0"/>
    <n v="0"/>
    <n v="0"/>
  </r>
  <r>
    <n v="34"/>
    <x v="0"/>
    <n v="1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x v="0"/>
    <n v="3"/>
    <n v="80"/>
    <x v="2"/>
    <n v="11"/>
    <x v="2"/>
    <n v="3"/>
    <n v="3"/>
    <n v="2"/>
    <n v="0"/>
    <n v="2"/>
  </r>
  <r>
    <n v="42"/>
    <x v="1"/>
    <n v="0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x v="0"/>
    <n v="4"/>
    <n v="80"/>
    <x v="1"/>
    <n v="8"/>
    <x v="5"/>
    <n v="3"/>
    <n v="2"/>
    <n v="2"/>
    <n v="2"/>
    <n v="0"/>
  </r>
  <r>
    <n v="36"/>
    <x v="1"/>
    <n v="0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x v="0"/>
    <n v="4"/>
    <n v="80"/>
    <x v="0"/>
    <n v="10"/>
    <x v="1"/>
    <n v="2"/>
    <n v="10"/>
    <n v="3"/>
    <n v="9"/>
    <n v="7"/>
  </r>
  <r>
    <n v="22"/>
    <x v="0"/>
    <n v="1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x v="0"/>
    <n v="3"/>
    <n v="80"/>
    <x v="0"/>
    <n v="4"/>
    <x v="1"/>
    <n v="3"/>
    <n v="2"/>
    <n v="2"/>
    <n v="1"/>
    <n v="2"/>
  </r>
  <r>
    <n v="48"/>
    <x v="1"/>
    <n v="0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x v="0"/>
    <n v="1"/>
    <n v="80"/>
    <x v="1"/>
    <n v="14"/>
    <x v="2"/>
    <n v="3"/>
    <n v="9"/>
    <n v="7"/>
    <n v="6"/>
    <n v="7"/>
  </r>
  <r>
    <n v="55"/>
    <x v="1"/>
    <n v="0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x v="1"/>
    <n v="4"/>
    <n v="80"/>
    <x v="0"/>
    <n v="37"/>
    <x v="2"/>
    <n v="3"/>
    <n v="10"/>
    <n v="9"/>
    <n v="7"/>
    <n v="7"/>
  </r>
  <r>
    <n v="41"/>
    <x v="1"/>
    <n v="0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x v="0"/>
    <n v="4"/>
    <n v="80"/>
    <x v="0"/>
    <n v="16"/>
    <x v="1"/>
    <n v="3"/>
    <n v="14"/>
    <n v="3"/>
    <n v="1"/>
    <n v="10"/>
  </r>
  <r>
    <n v="35"/>
    <x v="1"/>
    <n v="0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x v="0"/>
    <n v="3"/>
    <n v="80"/>
    <x v="0"/>
    <n v="15"/>
    <x v="2"/>
    <n v="3"/>
    <n v="11"/>
    <n v="9"/>
    <n v="6"/>
    <n v="9"/>
  </r>
  <r>
    <n v="40"/>
    <x v="1"/>
    <n v="0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x v="0"/>
    <n v="3"/>
    <n v="80"/>
    <x v="0"/>
    <n v="22"/>
    <x v="1"/>
    <n v="3"/>
    <n v="20"/>
    <n v="6"/>
    <n v="5"/>
    <n v="13"/>
  </r>
  <r>
    <n v="39"/>
    <x v="1"/>
    <n v="0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x v="0"/>
    <n v="1"/>
    <n v="80"/>
    <x v="1"/>
    <n v="8"/>
    <x v="1"/>
    <n v="3"/>
    <n v="8"/>
    <n v="3"/>
    <n v="0"/>
    <n v="7"/>
  </r>
  <r>
    <n v="31"/>
    <x v="1"/>
    <n v="0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x v="0"/>
    <n v="3"/>
    <n v="80"/>
    <x v="0"/>
    <n v="10"/>
    <x v="2"/>
    <n v="4"/>
    <n v="6"/>
    <n v="5"/>
    <n v="0"/>
    <n v="5"/>
  </r>
  <r>
    <n v="42"/>
    <x v="1"/>
    <n v="0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x v="1"/>
    <n v="4"/>
    <n v="80"/>
    <x v="1"/>
    <n v="10"/>
    <x v="3"/>
    <n v="2"/>
    <n v="10"/>
    <n v="9"/>
    <n v="5"/>
    <n v="8"/>
  </r>
  <r>
    <n v="45"/>
    <x v="1"/>
    <n v="0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x v="0"/>
    <n v="2"/>
    <n v="80"/>
    <x v="1"/>
    <n v="9"/>
    <x v="1"/>
    <n v="4"/>
    <n v="8"/>
    <n v="7"/>
    <n v="3"/>
    <n v="7"/>
  </r>
  <r>
    <n v="26"/>
    <x v="0"/>
    <n v="1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x v="0"/>
    <n v="2"/>
    <n v="80"/>
    <x v="1"/>
    <n v="8"/>
    <x v="2"/>
    <n v="2"/>
    <n v="7"/>
    <n v="7"/>
    <n v="1"/>
    <n v="0"/>
  </r>
  <r>
    <n v="29"/>
    <x v="1"/>
    <n v="0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x v="0"/>
    <n v="2"/>
    <n v="80"/>
    <x v="3"/>
    <n v="8"/>
    <x v="2"/>
    <n v="4"/>
    <n v="3"/>
    <n v="2"/>
    <n v="1"/>
    <n v="2"/>
  </r>
  <r>
    <n v="33"/>
    <x v="1"/>
    <n v="0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x v="0"/>
    <n v="3"/>
    <n v="80"/>
    <x v="1"/>
    <n v="10"/>
    <x v="2"/>
    <n v="3"/>
    <n v="6"/>
    <n v="1"/>
    <n v="0"/>
    <n v="5"/>
  </r>
  <r>
    <n v="31"/>
    <x v="1"/>
    <n v="0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x v="1"/>
    <n v="3"/>
    <n v="80"/>
    <x v="1"/>
    <n v="10"/>
    <x v="1"/>
    <n v="2"/>
    <n v="5"/>
    <n v="4"/>
    <n v="0"/>
    <n v="1"/>
  </r>
  <r>
    <n v="18"/>
    <x v="0"/>
    <n v="1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x v="0"/>
    <n v="4"/>
    <n v="80"/>
    <x v="0"/>
    <n v="0"/>
    <x v="1"/>
    <n v="3"/>
    <n v="0"/>
    <n v="0"/>
    <n v="0"/>
    <n v="0"/>
  </r>
  <r>
    <n v="40"/>
    <x v="1"/>
    <n v="0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x v="0"/>
    <n v="3"/>
    <n v="80"/>
    <x v="1"/>
    <n v="20"/>
    <x v="2"/>
    <n v="3"/>
    <n v="1"/>
    <n v="0"/>
    <n v="0"/>
    <n v="1"/>
  </r>
  <r>
    <n v="41"/>
    <x v="1"/>
    <n v="0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x v="0"/>
    <n v="1"/>
    <n v="80"/>
    <x v="0"/>
    <n v="10"/>
    <x v="1"/>
    <n v="3"/>
    <n v="8"/>
    <n v="7"/>
    <n v="0"/>
    <n v="7"/>
  </r>
  <r>
    <n v="26"/>
    <x v="1"/>
    <n v="0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x v="0"/>
    <n v="1"/>
    <n v="80"/>
    <x v="3"/>
    <n v="8"/>
    <x v="3"/>
    <n v="3"/>
    <n v="0"/>
    <n v="0"/>
    <n v="0"/>
    <n v="0"/>
  </r>
  <r>
    <n v="35"/>
    <x v="1"/>
    <n v="0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x v="0"/>
    <n v="4"/>
    <n v="80"/>
    <x v="0"/>
    <n v="5"/>
    <x v="1"/>
    <n v="3"/>
    <n v="5"/>
    <n v="4"/>
    <n v="0"/>
    <n v="3"/>
  </r>
  <r>
    <n v="34"/>
    <x v="1"/>
    <n v="0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x v="0"/>
    <n v="4"/>
    <n v="80"/>
    <x v="0"/>
    <n v="10"/>
    <x v="1"/>
    <n v="3"/>
    <n v="10"/>
    <n v="7"/>
    <n v="5"/>
    <n v="7"/>
  </r>
  <r>
    <n v="26"/>
    <x v="0"/>
    <n v="1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x v="0"/>
    <n v="2"/>
    <n v="80"/>
    <x v="0"/>
    <n v="1"/>
    <x v="1"/>
    <n v="1"/>
    <n v="1"/>
    <n v="0"/>
    <n v="0"/>
    <n v="0"/>
  </r>
  <r>
    <n v="37"/>
    <x v="1"/>
    <n v="0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x v="0"/>
    <n v="4"/>
    <n v="80"/>
    <x v="0"/>
    <n v="12"/>
    <x v="1"/>
    <n v="4"/>
    <n v="6"/>
    <n v="5"/>
    <n v="1"/>
    <n v="2"/>
  </r>
  <r>
    <n v="46"/>
    <x v="1"/>
    <n v="0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x v="0"/>
    <n v="4"/>
    <n v="80"/>
    <x v="0"/>
    <n v="28"/>
    <x v="1"/>
    <n v="2"/>
    <n v="2"/>
    <n v="2"/>
    <n v="1"/>
    <n v="2"/>
  </r>
  <r>
    <n v="41"/>
    <x v="1"/>
    <n v="0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x v="0"/>
    <n v="2"/>
    <n v="80"/>
    <x v="1"/>
    <n v="22"/>
    <x v="2"/>
    <n v="3"/>
    <n v="18"/>
    <n v="16"/>
    <n v="11"/>
    <n v="8"/>
  </r>
  <r>
    <n v="37"/>
    <x v="1"/>
    <n v="0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x v="0"/>
    <n v="4"/>
    <n v="80"/>
    <x v="1"/>
    <n v="9"/>
    <x v="6"/>
    <n v="3"/>
    <n v="9"/>
    <n v="5"/>
    <n v="7"/>
    <n v="7"/>
  </r>
  <r>
    <n v="52"/>
    <x v="1"/>
    <n v="0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x v="0"/>
    <n v="2"/>
    <n v="80"/>
    <x v="3"/>
    <n v="18"/>
    <x v="1"/>
    <n v="3"/>
    <n v="10"/>
    <n v="9"/>
    <n v="6"/>
    <n v="9"/>
  </r>
  <r>
    <n v="32"/>
    <x v="0"/>
    <n v="1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x v="0"/>
    <n v="4"/>
    <n v="80"/>
    <x v="0"/>
    <n v="6"/>
    <x v="2"/>
    <n v="3"/>
    <n v="4"/>
    <n v="2"/>
    <n v="1"/>
    <n v="2"/>
  </r>
  <r>
    <n v="24"/>
    <x v="1"/>
    <n v="0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x v="0"/>
    <n v="3"/>
    <n v="80"/>
    <x v="3"/>
    <n v="3"/>
    <x v="1"/>
    <n v="3"/>
    <n v="2"/>
    <n v="2"/>
    <n v="2"/>
    <n v="1"/>
  </r>
  <r>
    <n v="38"/>
    <x v="1"/>
    <n v="0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x v="0"/>
    <n v="3"/>
    <n v="80"/>
    <x v="1"/>
    <n v="18"/>
    <x v="5"/>
    <n v="3"/>
    <n v="1"/>
    <n v="0"/>
    <n v="0"/>
    <n v="0"/>
  </r>
  <r>
    <n v="37"/>
    <x v="1"/>
    <n v="0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x v="0"/>
    <n v="2"/>
    <n v="80"/>
    <x v="1"/>
    <n v="8"/>
    <x v="2"/>
    <n v="2"/>
    <n v="6"/>
    <n v="5"/>
    <n v="4"/>
    <n v="3"/>
  </r>
  <r>
    <n v="49"/>
    <x v="1"/>
    <n v="0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x v="0"/>
    <n v="3"/>
    <n v="80"/>
    <x v="1"/>
    <n v="31"/>
    <x v="3"/>
    <n v="3"/>
    <n v="31"/>
    <n v="9"/>
    <n v="0"/>
    <n v="9"/>
  </r>
  <r>
    <n v="24"/>
    <x v="1"/>
    <n v="0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x v="0"/>
    <n v="2"/>
    <n v="80"/>
    <x v="3"/>
    <n v="6"/>
    <x v="1"/>
    <n v="3"/>
    <n v="6"/>
    <n v="5"/>
    <n v="1"/>
    <n v="4"/>
  </r>
  <r>
    <n v="26"/>
    <x v="1"/>
    <n v="0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x v="1"/>
    <n v="4"/>
    <n v="80"/>
    <x v="3"/>
    <n v="6"/>
    <x v="3"/>
    <n v="4"/>
    <n v="5"/>
    <n v="3"/>
    <n v="1"/>
    <n v="4"/>
  </r>
  <r>
    <n v="24"/>
    <x v="1"/>
    <n v="0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x v="1"/>
    <n v="4"/>
    <n v="80"/>
    <x v="1"/>
    <n v="1"/>
    <x v="2"/>
    <n v="3"/>
    <n v="1"/>
    <n v="0"/>
    <n v="0"/>
    <n v="0"/>
  </r>
  <r>
    <n v="50"/>
    <x v="1"/>
    <n v="0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x v="0"/>
    <n v="3"/>
    <n v="80"/>
    <x v="1"/>
    <n v="32"/>
    <x v="2"/>
    <n v="3"/>
    <n v="32"/>
    <n v="5"/>
    <n v="10"/>
    <n v="7"/>
  </r>
  <r>
    <n v="25"/>
    <x v="1"/>
    <n v="0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x v="0"/>
    <n v="3"/>
    <n v="80"/>
    <x v="0"/>
    <n v="7"/>
    <x v="4"/>
    <n v="3"/>
    <n v="7"/>
    <n v="4"/>
    <n v="0"/>
    <n v="6"/>
  </r>
  <r>
    <n v="24"/>
    <x v="0"/>
    <n v="1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x v="0"/>
    <n v="4"/>
    <n v="80"/>
    <x v="1"/>
    <n v="6"/>
    <x v="5"/>
    <n v="3"/>
    <n v="6"/>
    <n v="3"/>
    <n v="1"/>
    <n v="2"/>
  </r>
  <r>
    <n v="30"/>
    <x v="0"/>
    <n v="1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x v="0"/>
    <n v="3"/>
    <n v="80"/>
    <x v="1"/>
    <n v="1"/>
    <x v="2"/>
    <n v="4"/>
    <n v="1"/>
    <n v="0"/>
    <n v="0"/>
    <n v="0"/>
  </r>
  <r>
    <n v="34"/>
    <x v="1"/>
    <n v="0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x v="0"/>
    <n v="4"/>
    <n v="80"/>
    <x v="1"/>
    <n v="6"/>
    <x v="1"/>
    <n v="3"/>
    <n v="6"/>
    <n v="5"/>
    <n v="1"/>
    <n v="3"/>
  </r>
  <r>
    <n v="31"/>
    <x v="0"/>
    <n v="1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x v="0"/>
    <n v="3"/>
    <n v="80"/>
    <x v="0"/>
    <n v="9"/>
    <x v="2"/>
    <n v="1"/>
    <n v="3"/>
    <n v="1"/>
    <n v="1"/>
    <n v="2"/>
  </r>
  <r>
    <n v="35"/>
    <x v="1"/>
    <n v="0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x v="0"/>
    <n v="4"/>
    <n v="80"/>
    <x v="0"/>
    <n v="9"/>
    <x v="1"/>
    <n v="3"/>
    <n v="3"/>
    <n v="2"/>
    <n v="0"/>
    <n v="2"/>
  </r>
  <r>
    <n v="31"/>
    <x v="1"/>
    <n v="0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x v="1"/>
    <n v="4"/>
    <n v="80"/>
    <x v="3"/>
    <n v="13"/>
    <x v="5"/>
    <n v="4"/>
    <n v="7"/>
    <n v="7"/>
    <n v="5"/>
    <n v="7"/>
  </r>
  <r>
    <n v="27"/>
    <x v="1"/>
    <n v="0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x v="0"/>
    <n v="3"/>
    <n v="80"/>
    <x v="3"/>
    <n v="6"/>
    <x v="3"/>
    <n v="2"/>
    <n v="5"/>
    <n v="3"/>
    <n v="0"/>
    <n v="3"/>
  </r>
  <r>
    <n v="37"/>
    <x v="1"/>
    <n v="0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x v="0"/>
    <n v="3"/>
    <n v="80"/>
    <x v="1"/>
    <n v="17"/>
    <x v="1"/>
    <n v="2"/>
    <n v="3"/>
    <n v="0"/>
    <n v="1"/>
    <n v="0"/>
  </r>
  <r>
    <n v="20"/>
    <x v="1"/>
    <n v="0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x v="0"/>
    <n v="4"/>
    <n v="80"/>
    <x v="0"/>
    <n v="1"/>
    <x v="0"/>
    <n v="4"/>
    <n v="1"/>
    <n v="0"/>
    <n v="0"/>
    <n v="0"/>
  </r>
  <r>
    <n v="42"/>
    <x v="1"/>
    <n v="0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x v="0"/>
    <n v="2"/>
    <n v="80"/>
    <x v="3"/>
    <n v="10"/>
    <x v="5"/>
    <n v="3"/>
    <n v="10"/>
    <n v="2"/>
    <n v="2"/>
    <n v="2"/>
  </r>
  <r>
    <n v="43"/>
    <x v="1"/>
    <n v="0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x v="0"/>
    <n v="3"/>
    <n v="80"/>
    <x v="1"/>
    <n v="21"/>
    <x v="1"/>
    <n v="2"/>
    <n v="1"/>
    <n v="0"/>
    <n v="0"/>
    <n v="0"/>
  </r>
  <r>
    <n v="38"/>
    <x v="1"/>
    <n v="0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x v="0"/>
    <n v="4"/>
    <n v="80"/>
    <x v="0"/>
    <n v="8"/>
    <x v="1"/>
    <n v="2"/>
    <n v="0"/>
    <n v="0"/>
    <n v="0"/>
    <n v="0"/>
  </r>
  <r>
    <n v="43"/>
    <x v="1"/>
    <n v="0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x v="0"/>
    <n v="2"/>
    <n v="80"/>
    <x v="1"/>
    <n v="10"/>
    <x v="1"/>
    <n v="3"/>
    <n v="8"/>
    <n v="7"/>
    <n v="4"/>
    <n v="7"/>
  </r>
  <r>
    <n v="48"/>
    <x v="1"/>
    <n v="0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x v="0"/>
    <n v="1"/>
    <n v="80"/>
    <x v="1"/>
    <n v="21"/>
    <x v="1"/>
    <n v="1"/>
    <n v="3"/>
    <n v="2"/>
    <n v="0"/>
    <n v="2"/>
  </r>
  <r>
    <n v="44"/>
    <x v="1"/>
    <n v="0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x v="0"/>
    <n v="2"/>
    <n v="80"/>
    <x v="0"/>
    <n v="10"/>
    <x v="4"/>
    <n v="4"/>
    <n v="2"/>
    <n v="2"/>
    <n v="0"/>
    <n v="2"/>
  </r>
  <r>
    <n v="34"/>
    <x v="1"/>
    <n v="0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x v="0"/>
    <n v="4"/>
    <n v="80"/>
    <x v="3"/>
    <n v="8"/>
    <x v="1"/>
    <n v="3"/>
    <n v="8"/>
    <n v="2"/>
    <n v="0"/>
    <n v="6"/>
  </r>
  <r>
    <n v="27"/>
    <x v="0"/>
    <n v="1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x v="0"/>
    <n v="2"/>
    <n v="80"/>
    <x v="1"/>
    <n v="5"/>
    <x v="1"/>
    <n v="3"/>
    <n v="4"/>
    <n v="3"/>
    <n v="0"/>
    <n v="2"/>
  </r>
  <r>
    <n v="21"/>
    <x v="1"/>
    <n v="0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x v="0"/>
    <n v="3"/>
    <n v="80"/>
    <x v="0"/>
    <n v="3"/>
    <x v="2"/>
    <n v="3"/>
    <n v="3"/>
    <n v="2"/>
    <n v="1"/>
    <n v="2"/>
  </r>
  <r>
    <n v="44"/>
    <x v="1"/>
    <n v="0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x v="0"/>
    <n v="1"/>
    <n v="80"/>
    <x v="1"/>
    <n v="26"/>
    <x v="2"/>
    <n v="4"/>
    <n v="2"/>
    <n v="2"/>
    <n v="0"/>
    <n v="1"/>
  </r>
  <r>
    <n v="22"/>
    <x v="1"/>
    <n v="0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x v="1"/>
    <n v="4"/>
    <n v="80"/>
    <x v="0"/>
    <n v="3"/>
    <x v="1"/>
    <n v="3"/>
    <n v="2"/>
    <n v="2"/>
    <n v="2"/>
    <n v="2"/>
  </r>
  <r>
    <n v="33"/>
    <x v="1"/>
    <n v="0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x v="0"/>
    <n v="4"/>
    <n v="80"/>
    <x v="0"/>
    <n v="6"/>
    <x v="1"/>
    <n v="3"/>
    <n v="5"/>
    <n v="0"/>
    <n v="1"/>
    <n v="2"/>
  </r>
  <r>
    <n v="32"/>
    <x v="1"/>
    <n v="0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x v="0"/>
    <n v="4"/>
    <n v="80"/>
    <x v="1"/>
    <n v="6"/>
    <x v="2"/>
    <n v="2"/>
    <n v="6"/>
    <n v="4"/>
    <n v="0"/>
    <n v="5"/>
  </r>
  <r>
    <n v="30"/>
    <x v="1"/>
    <n v="0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x v="1"/>
    <n v="3"/>
    <n v="80"/>
    <x v="1"/>
    <n v="1"/>
    <x v="2"/>
    <n v="3"/>
    <n v="1"/>
    <n v="0"/>
    <n v="0"/>
    <n v="0"/>
  </r>
  <r>
    <n v="53"/>
    <x v="1"/>
    <n v="0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x v="1"/>
    <n v="4"/>
    <n v="80"/>
    <x v="0"/>
    <n v="18"/>
    <x v="2"/>
    <n v="4"/>
    <n v="14"/>
    <n v="7"/>
    <n v="8"/>
    <n v="10"/>
  </r>
  <r>
    <n v="34"/>
    <x v="1"/>
    <n v="0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x v="0"/>
    <n v="4"/>
    <n v="80"/>
    <x v="1"/>
    <n v="10"/>
    <x v="5"/>
    <n v="2"/>
    <n v="10"/>
    <n v="9"/>
    <n v="8"/>
    <n v="8"/>
  </r>
  <r>
    <n v="45"/>
    <x v="0"/>
    <n v="1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x v="0"/>
    <n v="4"/>
    <n v="80"/>
    <x v="3"/>
    <n v="5"/>
    <x v="5"/>
    <n v="3"/>
    <n v="1"/>
    <n v="1"/>
    <n v="0"/>
    <n v="0"/>
  </r>
  <r>
    <n v="26"/>
    <x v="1"/>
    <n v="0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x v="0"/>
    <n v="3"/>
    <n v="80"/>
    <x v="1"/>
    <n v="3"/>
    <x v="2"/>
    <n v="3"/>
    <n v="3"/>
    <n v="2"/>
    <n v="0"/>
    <n v="2"/>
  </r>
  <r>
    <n v="37"/>
    <x v="1"/>
    <n v="0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x v="0"/>
    <n v="3"/>
    <n v="80"/>
    <x v="1"/>
    <n v="10"/>
    <x v="2"/>
    <n v="3"/>
    <n v="10"/>
    <n v="7"/>
    <n v="7"/>
    <n v="8"/>
  </r>
  <r>
    <n v="29"/>
    <x v="1"/>
    <n v="0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x v="0"/>
    <n v="1"/>
    <n v="80"/>
    <x v="1"/>
    <n v="6"/>
    <x v="3"/>
    <n v="2"/>
    <n v="6"/>
    <n v="0"/>
    <n v="1"/>
    <n v="2"/>
  </r>
  <r>
    <n v="35"/>
    <x v="1"/>
    <n v="0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x v="0"/>
    <n v="2"/>
    <n v="80"/>
    <x v="0"/>
    <n v="17"/>
    <x v="1"/>
    <n v="3"/>
    <n v="17"/>
    <n v="11"/>
    <n v="11"/>
    <n v="8"/>
  </r>
  <r>
    <n v="33"/>
    <x v="1"/>
    <n v="0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x v="1"/>
    <n v="3"/>
    <n v="80"/>
    <x v="1"/>
    <n v="15"/>
    <x v="2"/>
    <n v="1"/>
    <n v="13"/>
    <n v="11"/>
    <n v="4"/>
    <n v="7"/>
  </r>
  <r>
    <n v="54"/>
    <x v="1"/>
    <n v="0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x v="0"/>
    <n v="3"/>
    <n v="80"/>
    <x v="1"/>
    <n v="16"/>
    <x v="4"/>
    <n v="4"/>
    <n v="9"/>
    <n v="7"/>
    <n v="7"/>
    <n v="1"/>
  </r>
  <r>
    <n v="36"/>
    <x v="1"/>
    <n v="0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x v="0"/>
    <n v="3"/>
    <n v="80"/>
    <x v="1"/>
    <n v="13"/>
    <x v="2"/>
    <n v="3"/>
    <n v="3"/>
    <n v="2"/>
    <n v="0"/>
    <n v="2"/>
  </r>
  <r>
    <n v="27"/>
    <x v="1"/>
    <n v="0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x v="0"/>
    <n v="4"/>
    <n v="80"/>
    <x v="0"/>
    <n v="5"/>
    <x v="0"/>
    <n v="3"/>
    <n v="4"/>
    <n v="2"/>
    <n v="1"/>
    <n v="1"/>
  </r>
  <r>
    <n v="20"/>
    <x v="0"/>
    <n v="1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x v="0"/>
    <n v="4"/>
    <n v="80"/>
    <x v="0"/>
    <n v="1"/>
    <x v="3"/>
    <n v="3"/>
    <n v="1"/>
    <n v="0"/>
    <n v="1"/>
    <n v="1"/>
  </r>
  <r>
    <n v="33"/>
    <x v="0"/>
    <n v="1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x v="0"/>
    <n v="1"/>
    <n v="80"/>
    <x v="0"/>
    <n v="10"/>
    <x v="1"/>
    <n v="3"/>
    <n v="10"/>
    <n v="8"/>
    <n v="9"/>
    <n v="7"/>
  </r>
  <r>
    <n v="35"/>
    <x v="1"/>
    <n v="0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x v="0"/>
    <n v="3"/>
    <n v="80"/>
    <x v="3"/>
    <n v="1"/>
    <x v="1"/>
    <n v="3"/>
    <n v="1"/>
    <n v="0"/>
    <n v="0"/>
    <n v="0"/>
  </r>
  <r>
    <n v="23"/>
    <x v="1"/>
    <n v="0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x v="0"/>
    <n v="1"/>
    <n v="80"/>
    <x v="1"/>
    <n v="5"/>
    <x v="1"/>
    <n v="4"/>
    <n v="3"/>
    <n v="2"/>
    <n v="0"/>
    <n v="2"/>
  </r>
  <r>
    <n v="25"/>
    <x v="1"/>
    <n v="0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x v="1"/>
    <n v="3"/>
    <n v="80"/>
    <x v="1"/>
    <n v="4"/>
    <x v="5"/>
    <n v="3"/>
    <n v="3"/>
    <n v="2"/>
    <n v="1"/>
    <n v="2"/>
  </r>
  <r>
    <n v="38"/>
    <x v="1"/>
    <n v="0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x v="1"/>
    <n v="1"/>
    <n v="80"/>
    <x v="0"/>
    <n v="8"/>
    <x v="2"/>
    <n v="3"/>
    <n v="7"/>
    <n v="7"/>
    <n v="0"/>
    <n v="5"/>
  </r>
  <r>
    <n v="29"/>
    <x v="1"/>
    <n v="0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x v="0"/>
    <n v="4"/>
    <n v="80"/>
    <x v="1"/>
    <n v="10"/>
    <x v="3"/>
    <n v="3"/>
    <n v="10"/>
    <n v="7"/>
    <n v="2"/>
    <n v="8"/>
  </r>
  <r>
    <n v="48"/>
    <x v="1"/>
    <n v="0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x v="0"/>
    <n v="4"/>
    <n v="80"/>
    <x v="0"/>
    <n v="12"/>
    <x v="1"/>
    <n v="3"/>
    <n v="2"/>
    <n v="2"/>
    <n v="2"/>
    <n v="2"/>
  </r>
  <r>
    <n v="27"/>
    <x v="1"/>
    <n v="0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x v="1"/>
    <n v="2"/>
    <n v="80"/>
    <x v="3"/>
    <n v="6"/>
    <x v="1"/>
    <n v="3"/>
    <n v="6"/>
    <n v="5"/>
    <n v="0"/>
    <n v="4"/>
  </r>
  <r>
    <n v="37"/>
    <x v="1"/>
    <n v="0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x v="0"/>
    <n v="1"/>
    <n v="80"/>
    <x v="0"/>
    <n v="4"/>
    <x v="2"/>
    <n v="3"/>
    <n v="1"/>
    <n v="0"/>
    <n v="0"/>
    <n v="0"/>
  </r>
  <r>
    <n v="50"/>
    <x v="1"/>
    <n v="0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x v="0"/>
    <n v="3"/>
    <n v="80"/>
    <x v="2"/>
    <n v="20"/>
    <x v="1"/>
    <n v="3"/>
    <n v="20"/>
    <n v="8"/>
    <n v="3"/>
    <n v="8"/>
  </r>
  <r>
    <n v="34"/>
    <x v="1"/>
    <n v="0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x v="0"/>
    <n v="2"/>
    <n v="80"/>
    <x v="0"/>
    <n v="9"/>
    <x v="1"/>
    <n v="4"/>
    <n v="8"/>
    <n v="7"/>
    <n v="7"/>
    <n v="7"/>
  </r>
  <r>
    <n v="24"/>
    <x v="0"/>
    <n v="1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x v="0"/>
    <n v="1"/>
    <n v="80"/>
    <x v="0"/>
    <n v="4"/>
    <x v="1"/>
    <n v="3"/>
    <n v="2"/>
    <n v="2"/>
    <n v="2"/>
    <n v="0"/>
  </r>
  <r>
    <n v="39"/>
    <x v="1"/>
    <n v="0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x v="0"/>
    <n v="1"/>
    <n v="80"/>
    <x v="0"/>
    <n v="20"/>
    <x v="5"/>
    <n v="3"/>
    <n v="20"/>
    <n v="7"/>
    <n v="11"/>
    <n v="10"/>
  </r>
  <r>
    <n v="32"/>
    <x v="1"/>
    <n v="0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x v="0"/>
    <n v="4"/>
    <n v="80"/>
    <x v="0"/>
    <n v="10"/>
    <x v="2"/>
    <n v="2"/>
    <n v="10"/>
    <n v="7"/>
    <n v="0"/>
    <n v="8"/>
  </r>
  <r>
    <n v="50"/>
    <x v="0"/>
    <n v="1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x v="0"/>
    <n v="1"/>
    <n v="80"/>
    <x v="1"/>
    <n v="18"/>
    <x v="5"/>
    <n v="3"/>
    <n v="4"/>
    <n v="3"/>
    <n v="1"/>
    <n v="3"/>
  </r>
  <r>
    <n v="38"/>
    <x v="1"/>
    <n v="0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x v="0"/>
    <n v="3"/>
    <n v="80"/>
    <x v="0"/>
    <n v="10"/>
    <x v="5"/>
    <n v="2"/>
    <n v="9"/>
    <n v="7"/>
    <n v="1"/>
    <n v="8"/>
  </r>
  <r>
    <n v="27"/>
    <x v="1"/>
    <n v="0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x v="0"/>
    <n v="4"/>
    <n v="80"/>
    <x v="0"/>
    <n v="9"/>
    <x v="1"/>
    <n v="3"/>
    <n v="9"/>
    <n v="7"/>
    <n v="0"/>
    <n v="7"/>
  </r>
  <r>
    <n v="32"/>
    <x v="1"/>
    <n v="0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x v="0"/>
    <n v="4"/>
    <n v="80"/>
    <x v="0"/>
    <n v="10"/>
    <x v="6"/>
    <n v="3"/>
    <n v="7"/>
    <n v="7"/>
    <n v="7"/>
    <n v="7"/>
  </r>
  <r>
    <n v="47"/>
    <x v="1"/>
    <n v="0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x v="0"/>
    <n v="4"/>
    <n v="80"/>
    <x v="0"/>
    <n v="20"/>
    <x v="2"/>
    <n v="3"/>
    <n v="7"/>
    <n v="7"/>
    <n v="1"/>
    <n v="7"/>
  </r>
  <r>
    <n v="40"/>
    <x v="1"/>
    <n v="0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x v="1"/>
    <n v="3"/>
    <n v="80"/>
    <x v="1"/>
    <n v="20"/>
    <x v="2"/>
    <n v="3"/>
    <n v="18"/>
    <n v="13"/>
    <n v="1"/>
    <n v="12"/>
  </r>
  <r>
    <n v="53"/>
    <x v="1"/>
    <n v="0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x v="0"/>
    <n v="3"/>
    <n v="80"/>
    <x v="0"/>
    <n v="32"/>
    <x v="1"/>
    <n v="3"/>
    <n v="5"/>
    <n v="1"/>
    <n v="1"/>
    <n v="3"/>
  </r>
  <r>
    <n v="41"/>
    <x v="1"/>
    <n v="0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x v="0"/>
    <n v="2"/>
    <n v="80"/>
    <x v="2"/>
    <n v="23"/>
    <x v="2"/>
    <n v="2"/>
    <n v="21"/>
    <n v="6"/>
    <n v="12"/>
    <n v="6"/>
  </r>
  <r>
    <n v="60"/>
    <x v="1"/>
    <n v="0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x v="0"/>
    <n v="4"/>
    <n v="80"/>
    <x v="0"/>
    <n v="10"/>
    <x v="4"/>
    <n v="3"/>
    <n v="2"/>
    <n v="2"/>
    <n v="2"/>
    <n v="2"/>
  </r>
  <r>
    <n v="27"/>
    <x v="1"/>
    <n v="0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x v="1"/>
    <n v="3"/>
    <n v="80"/>
    <x v="3"/>
    <n v="9"/>
    <x v="5"/>
    <n v="2"/>
    <n v="9"/>
    <n v="7"/>
    <n v="1"/>
    <n v="7"/>
  </r>
  <r>
    <n v="41"/>
    <x v="1"/>
    <n v="0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x v="0"/>
    <n v="2"/>
    <n v="80"/>
    <x v="1"/>
    <n v="22"/>
    <x v="1"/>
    <n v="3"/>
    <n v="22"/>
    <n v="7"/>
    <n v="2"/>
    <n v="10"/>
  </r>
  <r>
    <n v="50"/>
    <x v="1"/>
    <n v="0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x v="0"/>
    <n v="4"/>
    <n v="80"/>
    <x v="1"/>
    <n v="4"/>
    <x v="2"/>
    <n v="3"/>
    <n v="2"/>
    <n v="2"/>
    <n v="2"/>
    <n v="2"/>
  </r>
  <r>
    <n v="28"/>
    <x v="0"/>
    <n v="1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x v="0"/>
    <n v="4"/>
    <n v="80"/>
    <x v="0"/>
    <n v="10"/>
    <x v="5"/>
    <n v="3"/>
    <n v="7"/>
    <n v="7"/>
    <n v="3"/>
    <n v="7"/>
  </r>
  <r>
    <n v="36"/>
    <x v="1"/>
    <n v="0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x v="0"/>
    <n v="1"/>
    <n v="80"/>
    <x v="1"/>
    <n v="10"/>
    <x v="2"/>
    <n v="3"/>
    <n v="8"/>
    <n v="7"/>
    <n v="0"/>
    <n v="5"/>
  </r>
  <r>
    <n v="38"/>
    <x v="1"/>
    <n v="0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x v="0"/>
    <n v="4"/>
    <n v="80"/>
    <x v="0"/>
    <n v="10"/>
    <x v="5"/>
    <n v="4"/>
    <n v="1"/>
    <n v="0"/>
    <n v="0"/>
    <n v="0"/>
  </r>
  <r>
    <n v="44"/>
    <x v="1"/>
    <n v="0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x v="0"/>
    <n v="3"/>
    <n v="80"/>
    <x v="0"/>
    <n v="9"/>
    <x v="3"/>
    <n v="3"/>
    <n v="5"/>
    <n v="2"/>
    <n v="1"/>
    <n v="4"/>
  </r>
  <r>
    <n v="47"/>
    <x v="1"/>
    <n v="0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x v="0"/>
    <n v="4"/>
    <n v="80"/>
    <x v="3"/>
    <n v="28"/>
    <x v="2"/>
    <n v="2"/>
    <n v="22"/>
    <n v="2"/>
    <n v="11"/>
    <n v="13"/>
  </r>
  <r>
    <n v="30"/>
    <x v="1"/>
    <n v="0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x v="1"/>
    <n v="4"/>
    <n v="80"/>
    <x v="1"/>
    <n v="10"/>
    <x v="2"/>
    <n v="2"/>
    <n v="8"/>
    <n v="7"/>
    <n v="7"/>
    <n v="7"/>
  </r>
  <r>
    <n v="29"/>
    <x v="1"/>
    <n v="0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x v="0"/>
    <n v="3"/>
    <n v="80"/>
    <x v="0"/>
    <n v="1"/>
    <x v="6"/>
    <n v="3"/>
    <n v="1"/>
    <n v="0"/>
    <n v="0"/>
    <n v="0"/>
  </r>
  <r>
    <n v="42"/>
    <x v="0"/>
    <n v="1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x v="0"/>
    <n v="4"/>
    <n v="80"/>
    <x v="0"/>
    <n v="7"/>
    <x v="2"/>
    <n v="3"/>
    <n v="2"/>
    <n v="2"/>
    <n v="2"/>
    <n v="2"/>
  </r>
  <r>
    <n v="43"/>
    <x v="1"/>
    <n v="0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x v="0"/>
    <n v="3"/>
    <n v="80"/>
    <x v="1"/>
    <n v="7"/>
    <x v="3"/>
    <n v="3"/>
    <n v="2"/>
    <n v="2"/>
    <n v="2"/>
    <n v="2"/>
  </r>
  <r>
    <n v="34"/>
    <x v="1"/>
    <n v="0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x v="0"/>
    <n v="4"/>
    <n v="80"/>
    <x v="0"/>
    <n v="10"/>
    <x v="2"/>
    <n v="3"/>
    <n v="5"/>
    <n v="1"/>
    <n v="4"/>
    <n v="3"/>
  </r>
  <r>
    <n v="23"/>
    <x v="1"/>
    <n v="0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x v="0"/>
    <n v="4"/>
    <n v="80"/>
    <x v="1"/>
    <n v="5"/>
    <x v="2"/>
    <n v="4"/>
    <n v="4"/>
    <n v="3"/>
    <n v="0"/>
    <n v="2"/>
  </r>
  <r>
    <n v="39"/>
    <x v="1"/>
    <n v="0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x v="0"/>
    <n v="3"/>
    <n v="80"/>
    <x v="1"/>
    <n v="12"/>
    <x v="1"/>
    <n v="1"/>
    <n v="8"/>
    <n v="3"/>
    <n v="3"/>
    <n v="6"/>
  </r>
  <r>
    <n v="56"/>
    <x v="1"/>
    <n v="0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x v="0"/>
    <n v="3"/>
    <n v="80"/>
    <x v="0"/>
    <n v="30"/>
    <x v="4"/>
    <n v="2"/>
    <n v="10"/>
    <n v="7"/>
    <n v="1"/>
    <n v="1"/>
  </r>
  <r>
    <n v="40"/>
    <x v="1"/>
    <n v="0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x v="1"/>
    <n v="4"/>
    <n v="80"/>
    <x v="0"/>
    <n v="5"/>
    <x v="2"/>
    <n v="2"/>
    <n v="4"/>
    <n v="2"/>
    <n v="2"/>
    <n v="3"/>
  </r>
  <r>
    <n v="27"/>
    <x v="1"/>
    <n v="0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x v="0"/>
    <n v="1"/>
    <n v="80"/>
    <x v="0"/>
    <n v="9"/>
    <x v="2"/>
    <n v="1"/>
    <n v="7"/>
    <n v="6"/>
    <n v="0"/>
    <n v="7"/>
  </r>
  <r>
    <n v="29"/>
    <x v="1"/>
    <n v="0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x v="0"/>
    <n v="4"/>
    <n v="80"/>
    <x v="3"/>
    <n v="2"/>
    <x v="2"/>
    <n v="3"/>
    <n v="2"/>
    <n v="2"/>
    <n v="2"/>
    <n v="2"/>
  </r>
  <r>
    <n v="53"/>
    <x v="1"/>
    <n v="0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x v="0"/>
    <n v="4"/>
    <n v="80"/>
    <x v="0"/>
    <n v="19"/>
    <x v="5"/>
    <n v="3"/>
    <n v="2"/>
    <n v="2"/>
    <n v="2"/>
    <n v="2"/>
  </r>
  <r>
    <n v="35"/>
    <x v="1"/>
    <n v="0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x v="0"/>
    <n v="1"/>
    <n v="80"/>
    <x v="1"/>
    <n v="16"/>
    <x v="2"/>
    <n v="4"/>
    <n v="1"/>
    <n v="0"/>
    <n v="0"/>
    <n v="0"/>
  </r>
  <r>
    <n v="32"/>
    <x v="1"/>
    <n v="0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x v="0"/>
    <n v="4"/>
    <n v="80"/>
    <x v="3"/>
    <n v="10"/>
    <x v="2"/>
    <n v="3"/>
    <n v="10"/>
    <n v="8"/>
    <n v="4"/>
    <n v="7"/>
  </r>
  <r>
    <n v="38"/>
    <x v="1"/>
    <n v="0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x v="0"/>
    <n v="2"/>
    <n v="80"/>
    <x v="1"/>
    <n v="6"/>
    <x v="0"/>
    <n v="1"/>
    <n v="1"/>
    <n v="0"/>
    <n v="0"/>
    <n v="1"/>
  </r>
  <r>
    <n v="34"/>
    <x v="1"/>
    <n v="0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x v="0"/>
    <n v="3"/>
    <n v="80"/>
    <x v="1"/>
    <n v="7"/>
    <x v="1"/>
    <n v="3"/>
    <n v="0"/>
    <n v="0"/>
    <n v="0"/>
    <n v="0"/>
  </r>
  <r>
    <n v="52"/>
    <x v="1"/>
    <n v="0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x v="0"/>
    <n v="1"/>
    <n v="80"/>
    <x v="0"/>
    <n v="34"/>
    <x v="1"/>
    <n v="4"/>
    <n v="34"/>
    <n v="6"/>
    <n v="1"/>
    <n v="16"/>
  </r>
  <r>
    <n v="33"/>
    <x v="0"/>
    <n v="1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x v="0"/>
    <n v="3"/>
    <n v="80"/>
    <x v="0"/>
    <n v="10"/>
    <x v="2"/>
    <n v="2"/>
    <n v="10"/>
    <n v="9"/>
    <n v="7"/>
    <n v="8"/>
  </r>
  <r>
    <n v="25"/>
    <x v="1"/>
    <n v="0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x v="1"/>
    <n v="2"/>
    <n v="80"/>
    <x v="0"/>
    <n v="6"/>
    <x v="3"/>
    <n v="2"/>
    <n v="6"/>
    <n v="5"/>
    <n v="1"/>
    <n v="4"/>
  </r>
  <r>
    <n v="45"/>
    <x v="1"/>
    <n v="0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x v="0"/>
    <n v="1"/>
    <n v="80"/>
    <x v="0"/>
    <n v="9"/>
    <x v="1"/>
    <n v="3"/>
    <n v="8"/>
    <n v="7"/>
    <n v="3"/>
    <n v="1"/>
  </r>
  <r>
    <n v="23"/>
    <x v="1"/>
    <n v="0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x v="0"/>
    <n v="4"/>
    <n v="80"/>
    <x v="0"/>
    <n v="2"/>
    <x v="1"/>
    <n v="3"/>
    <n v="2"/>
    <n v="2"/>
    <n v="0"/>
    <n v="2"/>
  </r>
  <r>
    <n v="47"/>
    <x v="0"/>
    <n v="1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x v="0"/>
    <n v="4"/>
    <n v="80"/>
    <x v="0"/>
    <n v="8"/>
    <x v="2"/>
    <n v="3"/>
    <n v="5"/>
    <n v="4"/>
    <n v="1"/>
    <n v="3"/>
  </r>
  <r>
    <n v="34"/>
    <x v="1"/>
    <n v="0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x v="1"/>
    <n v="3"/>
    <n v="80"/>
    <x v="0"/>
    <n v="6"/>
    <x v="3"/>
    <n v="3"/>
    <n v="6"/>
    <n v="5"/>
    <n v="1"/>
    <n v="4"/>
  </r>
  <r>
    <n v="55"/>
    <x v="0"/>
    <n v="1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x v="0"/>
    <n v="4"/>
    <n v="80"/>
    <x v="1"/>
    <n v="24"/>
    <x v="2"/>
    <n v="3"/>
    <n v="5"/>
    <n v="2"/>
    <n v="1"/>
    <n v="4"/>
  </r>
  <r>
    <n v="36"/>
    <x v="1"/>
    <n v="0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x v="0"/>
    <n v="2"/>
    <n v="80"/>
    <x v="0"/>
    <n v="10"/>
    <x v="4"/>
    <n v="3"/>
    <n v="10"/>
    <n v="7"/>
    <n v="0"/>
    <n v="9"/>
  </r>
  <r>
    <n v="52"/>
    <x v="1"/>
    <n v="0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x v="0"/>
    <n v="1"/>
    <n v="80"/>
    <x v="1"/>
    <n v="5"/>
    <x v="1"/>
    <n v="3"/>
    <n v="4"/>
    <n v="3"/>
    <n v="1"/>
    <n v="2"/>
  </r>
  <r>
    <n v="26"/>
    <x v="1"/>
    <n v="0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x v="0"/>
    <n v="1"/>
    <n v="80"/>
    <x v="1"/>
    <n v="5"/>
    <x v="2"/>
    <n v="3"/>
    <n v="2"/>
    <n v="2"/>
    <n v="2"/>
    <n v="0"/>
  </r>
  <r>
    <n v="29"/>
    <x v="1"/>
    <n v="0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x v="0"/>
    <n v="1"/>
    <n v="80"/>
    <x v="1"/>
    <n v="11"/>
    <x v="1"/>
    <n v="2"/>
    <n v="8"/>
    <n v="7"/>
    <n v="1"/>
    <n v="1"/>
  </r>
  <r>
    <n v="26"/>
    <x v="0"/>
    <n v="1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x v="0"/>
    <n v="3"/>
    <n v="80"/>
    <x v="0"/>
    <n v="6"/>
    <x v="2"/>
    <n v="2"/>
    <n v="4"/>
    <n v="3"/>
    <n v="1"/>
    <n v="2"/>
  </r>
  <r>
    <n v="34"/>
    <x v="1"/>
    <n v="0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x v="0"/>
    <n v="3"/>
    <n v="80"/>
    <x v="0"/>
    <n v="10"/>
    <x v="2"/>
    <n v="3"/>
    <n v="4"/>
    <n v="2"/>
    <n v="1"/>
    <n v="3"/>
  </r>
  <r>
    <n v="54"/>
    <x v="1"/>
    <n v="0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x v="0"/>
    <n v="2"/>
    <n v="80"/>
    <x v="3"/>
    <n v="9"/>
    <x v="5"/>
    <n v="3"/>
    <n v="5"/>
    <n v="3"/>
    <n v="1"/>
    <n v="4"/>
  </r>
  <r>
    <n v="27"/>
    <x v="1"/>
    <n v="0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x v="0"/>
    <n v="2"/>
    <n v="80"/>
    <x v="1"/>
    <n v="5"/>
    <x v="1"/>
    <n v="3"/>
    <n v="4"/>
    <n v="2"/>
    <n v="1"/>
    <n v="1"/>
  </r>
  <r>
    <n v="37"/>
    <x v="1"/>
    <n v="0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x v="0"/>
    <n v="2"/>
    <n v="80"/>
    <x v="3"/>
    <n v="6"/>
    <x v="1"/>
    <n v="2"/>
    <n v="5"/>
    <n v="3"/>
    <n v="4"/>
    <n v="3"/>
  </r>
  <r>
    <n v="38"/>
    <x v="1"/>
    <n v="0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x v="0"/>
    <n v="4"/>
    <n v="80"/>
    <x v="0"/>
    <n v="17"/>
    <x v="2"/>
    <n v="3"/>
    <n v="15"/>
    <n v="7"/>
    <n v="4"/>
    <n v="12"/>
  </r>
  <r>
    <n v="34"/>
    <x v="1"/>
    <n v="0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x v="0"/>
    <n v="3"/>
    <n v="80"/>
    <x v="0"/>
    <n v="6"/>
    <x v="1"/>
    <n v="3"/>
    <n v="6"/>
    <n v="5"/>
    <n v="1"/>
    <n v="3"/>
  </r>
  <r>
    <n v="35"/>
    <x v="1"/>
    <n v="0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x v="0"/>
    <n v="2"/>
    <n v="80"/>
    <x v="1"/>
    <n v="3"/>
    <x v="4"/>
    <n v="2"/>
    <n v="3"/>
    <n v="2"/>
    <n v="0"/>
    <n v="2"/>
  </r>
  <r>
    <n v="30"/>
    <x v="1"/>
    <n v="0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x v="1"/>
    <n v="3"/>
    <n v="80"/>
    <x v="3"/>
    <n v="7"/>
    <x v="2"/>
    <n v="3"/>
    <n v="2"/>
    <n v="2"/>
    <n v="0"/>
    <n v="2"/>
  </r>
  <r>
    <n v="40"/>
    <x v="1"/>
    <n v="0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x v="1"/>
    <n v="4"/>
    <n v="80"/>
    <x v="1"/>
    <n v="8"/>
    <x v="2"/>
    <n v="3"/>
    <n v="8"/>
    <n v="7"/>
    <n v="3"/>
    <n v="7"/>
  </r>
  <r>
    <n v="34"/>
    <x v="1"/>
    <n v="0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x v="0"/>
    <n v="2"/>
    <n v="80"/>
    <x v="1"/>
    <n v="6"/>
    <x v="4"/>
    <n v="3"/>
    <n v="3"/>
    <n v="2"/>
    <n v="1"/>
    <n v="2"/>
  </r>
  <r>
    <n v="42"/>
    <x v="1"/>
    <n v="0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x v="0"/>
    <n v="2"/>
    <n v="80"/>
    <x v="1"/>
    <n v="24"/>
    <x v="5"/>
    <n v="2"/>
    <n v="24"/>
    <n v="7"/>
    <n v="14"/>
    <n v="9"/>
  </r>
  <r>
    <n v="23"/>
    <x v="0"/>
    <n v="1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x v="1"/>
    <n v="3"/>
    <n v="80"/>
    <x v="3"/>
    <n v="1"/>
    <x v="2"/>
    <n v="3"/>
    <n v="0"/>
    <n v="0"/>
    <n v="0"/>
    <n v="0"/>
  </r>
  <r>
    <n v="24"/>
    <x v="1"/>
    <n v="0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x v="0"/>
    <n v="3"/>
    <n v="80"/>
    <x v="2"/>
    <n v="1"/>
    <x v="5"/>
    <n v="3"/>
    <n v="1"/>
    <n v="0"/>
    <n v="0"/>
    <n v="0"/>
  </r>
  <r>
    <n v="52"/>
    <x v="1"/>
    <n v="0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x v="1"/>
    <n v="2"/>
    <n v="80"/>
    <x v="1"/>
    <n v="9"/>
    <x v="1"/>
    <n v="3"/>
    <n v="5"/>
    <n v="2"/>
    <n v="1"/>
    <n v="4"/>
  </r>
  <r>
    <n v="50"/>
    <x v="1"/>
    <n v="0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x v="0"/>
    <n v="4"/>
    <n v="80"/>
    <x v="0"/>
    <n v="30"/>
    <x v="1"/>
    <n v="3"/>
    <n v="4"/>
    <n v="3"/>
    <n v="0"/>
    <n v="3"/>
  </r>
  <r>
    <n v="29"/>
    <x v="0"/>
    <n v="1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x v="0"/>
    <n v="4"/>
    <n v="80"/>
    <x v="1"/>
    <n v="1"/>
    <x v="4"/>
    <n v="3"/>
    <n v="1"/>
    <n v="0"/>
    <n v="0"/>
    <n v="0"/>
  </r>
  <r>
    <n v="33"/>
    <x v="1"/>
    <n v="0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x v="0"/>
    <n v="4"/>
    <n v="80"/>
    <x v="0"/>
    <n v="14"/>
    <x v="1"/>
    <n v="4"/>
    <n v="13"/>
    <n v="9"/>
    <n v="3"/>
    <n v="7"/>
  </r>
  <r>
    <n v="33"/>
    <x v="0"/>
    <n v="1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x v="0"/>
    <n v="3"/>
    <n v="80"/>
    <x v="0"/>
    <n v="6"/>
    <x v="1"/>
    <n v="3"/>
    <n v="3"/>
    <n v="2"/>
    <n v="0"/>
    <n v="2"/>
  </r>
  <r>
    <n v="47"/>
    <x v="1"/>
    <n v="0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x v="0"/>
    <n v="3"/>
    <n v="80"/>
    <x v="1"/>
    <n v="26"/>
    <x v="1"/>
    <n v="2"/>
    <n v="26"/>
    <n v="14"/>
    <n v="3"/>
    <n v="0"/>
  </r>
  <r>
    <n v="36"/>
    <x v="1"/>
    <n v="0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x v="0"/>
    <n v="1"/>
    <n v="80"/>
    <x v="1"/>
    <n v="10"/>
    <x v="2"/>
    <n v="3"/>
    <n v="9"/>
    <n v="7"/>
    <n v="0"/>
    <n v="5"/>
  </r>
  <r>
    <n v="29"/>
    <x v="1"/>
    <n v="0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x v="1"/>
    <n v="3"/>
    <n v="80"/>
    <x v="1"/>
    <n v="10"/>
    <x v="1"/>
    <n v="3"/>
    <n v="10"/>
    <n v="7"/>
    <n v="0"/>
    <n v="7"/>
  </r>
  <r>
    <n v="58"/>
    <x v="0"/>
    <n v="1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x v="0"/>
    <n v="4"/>
    <n v="80"/>
    <x v="0"/>
    <n v="40"/>
    <x v="2"/>
    <n v="3"/>
    <n v="31"/>
    <n v="15"/>
    <n v="13"/>
    <n v="8"/>
  </r>
  <r>
    <n v="35"/>
    <x v="1"/>
    <n v="0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x v="0"/>
    <n v="3"/>
    <n v="80"/>
    <x v="0"/>
    <n v="7"/>
    <x v="0"/>
    <n v="3"/>
    <n v="2"/>
    <n v="2"/>
    <n v="2"/>
    <n v="2"/>
  </r>
  <r>
    <n v="42"/>
    <x v="1"/>
    <n v="0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x v="0"/>
    <n v="4"/>
    <n v="80"/>
    <x v="1"/>
    <n v="8"/>
    <x v="5"/>
    <n v="3"/>
    <n v="4"/>
    <n v="3"/>
    <n v="0"/>
    <n v="2"/>
  </r>
  <r>
    <n v="28"/>
    <x v="0"/>
    <n v="1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x v="0"/>
    <n v="4"/>
    <n v="80"/>
    <x v="0"/>
    <n v="5"/>
    <x v="1"/>
    <n v="2"/>
    <n v="2"/>
    <n v="2"/>
    <n v="2"/>
    <n v="1"/>
  </r>
  <r>
    <n v="36"/>
    <x v="1"/>
    <n v="0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x v="0"/>
    <n v="2"/>
    <n v="80"/>
    <x v="1"/>
    <n v="8"/>
    <x v="2"/>
    <n v="3"/>
    <n v="5"/>
    <n v="2"/>
    <n v="0"/>
    <n v="4"/>
  </r>
  <r>
    <n v="32"/>
    <x v="1"/>
    <n v="0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x v="0"/>
    <n v="3"/>
    <n v="80"/>
    <x v="1"/>
    <n v="14"/>
    <x v="1"/>
    <n v="3"/>
    <n v="14"/>
    <n v="13"/>
    <n v="6"/>
    <n v="8"/>
  </r>
  <r>
    <n v="40"/>
    <x v="1"/>
    <n v="0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x v="0"/>
    <n v="4"/>
    <n v="80"/>
    <x v="0"/>
    <n v="10"/>
    <x v="6"/>
    <n v="3"/>
    <n v="1"/>
    <n v="0"/>
    <n v="0"/>
    <n v="0"/>
  </r>
  <r>
    <n v="30"/>
    <x v="1"/>
    <n v="0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x v="1"/>
    <n v="2"/>
    <n v="80"/>
    <x v="0"/>
    <n v="12"/>
    <x v="5"/>
    <n v="2"/>
    <n v="0"/>
    <n v="0"/>
    <n v="0"/>
    <n v="0"/>
  </r>
  <r>
    <n v="45"/>
    <x v="1"/>
    <n v="0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x v="0"/>
    <n v="4"/>
    <n v="80"/>
    <x v="0"/>
    <n v="1"/>
    <x v="1"/>
    <n v="3"/>
    <n v="1"/>
    <n v="0"/>
    <n v="0"/>
    <n v="0"/>
  </r>
  <r>
    <n v="42"/>
    <x v="1"/>
    <n v="0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x v="0"/>
    <n v="4"/>
    <n v="80"/>
    <x v="1"/>
    <n v="10"/>
    <x v="1"/>
    <n v="2"/>
    <n v="9"/>
    <n v="8"/>
    <n v="7"/>
    <n v="8"/>
  </r>
  <r>
    <n v="38"/>
    <x v="1"/>
    <n v="0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x v="0"/>
    <n v="3"/>
    <n v="80"/>
    <x v="1"/>
    <n v="13"/>
    <x v="1"/>
    <n v="2"/>
    <n v="4"/>
    <n v="3"/>
    <n v="1"/>
    <n v="2"/>
  </r>
  <r>
    <n v="34"/>
    <x v="1"/>
    <n v="0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x v="0"/>
    <n v="3"/>
    <n v="80"/>
    <x v="0"/>
    <n v="6"/>
    <x v="1"/>
    <n v="3"/>
    <n v="5"/>
    <n v="2"/>
    <n v="1"/>
    <n v="3"/>
  </r>
  <r>
    <n v="49"/>
    <x v="0"/>
    <n v="1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x v="0"/>
    <n v="1"/>
    <n v="80"/>
    <x v="3"/>
    <n v="9"/>
    <x v="1"/>
    <n v="4"/>
    <n v="9"/>
    <n v="8"/>
    <n v="7"/>
    <n v="7"/>
  </r>
  <r>
    <n v="55"/>
    <x v="0"/>
    <n v="1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x v="0"/>
    <n v="3"/>
    <n v="80"/>
    <x v="0"/>
    <n v="12"/>
    <x v="1"/>
    <n v="2"/>
    <n v="9"/>
    <n v="7"/>
    <n v="7"/>
    <n v="3"/>
  </r>
  <r>
    <n v="43"/>
    <x v="1"/>
    <n v="0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x v="1"/>
    <n v="3"/>
    <n v="80"/>
    <x v="1"/>
    <n v="22"/>
    <x v="1"/>
    <n v="3"/>
    <n v="4"/>
    <n v="1"/>
    <n v="1"/>
    <n v="0"/>
  </r>
  <r>
    <n v="27"/>
    <x v="1"/>
    <n v="0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x v="0"/>
    <n v="2"/>
    <n v="80"/>
    <x v="1"/>
    <n v="9"/>
    <x v="1"/>
    <n v="3"/>
    <n v="9"/>
    <n v="8"/>
    <n v="0"/>
    <n v="8"/>
  </r>
  <r>
    <n v="35"/>
    <x v="1"/>
    <n v="0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x v="1"/>
    <n v="2"/>
    <n v="80"/>
    <x v="0"/>
    <n v="17"/>
    <x v="1"/>
    <n v="4"/>
    <n v="8"/>
    <n v="5"/>
    <n v="1"/>
    <n v="6"/>
  </r>
  <r>
    <n v="28"/>
    <x v="1"/>
    <n v="0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x v="1"/>
    <n v="1"/>
    <n v="80"/>
    <x v="0"/>
    <n v="8"/>
    <x v="2"/>
    <n v="3"/>
    <n v="8"/>
    <n v="7"/>
    <n v="7"/>
    <n v="5"/>
  </r>
  <r>
    <n v="34"/>
    <x v="1"/>
    <n v="0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x v="0"/>
    <n v="3"/>
    <n v="80"/>
    <x v="1"/>
    <n v="4"/>
    <x v="4"/>
    <n v="1"/>
    <n v="3"/>
    <n v="2"/>
    <n v="0"/>
    <n v="2"/>
  </r>
  <r>
    <n v="26"/>
    <x v="0"/>
    <n v="1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x v="0"/>
    <n v="1"/>
    <n v="80"/>
    <x v="1"/>
    <n v="8"/>
    <x v="2"/>
    <n v="3"/>
    <n v="8"/>
    <n v="7"/>
    <n v="1"/>
    <n v="7"/>
  </r>
  <r>
    <n v="27"/>
    <x v="1"/>
    <n v="0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x v="0"/>
    <n v="3"/>
    <n v="80"/>
    <x v="2"/>
    <n v="0"/>
    <x v="6"/>
    <n v="2"/>
    <n v="0"/>
    <n v="0"/>
    <n v="0"/>
    <n v="0"/>
  </r>
  <r>
    <n v="51"/>
    <x v="1"/>
    <n v="0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x v="0"/>
    <n v="3"/>
    <n v="80"/>
    <x v="1"/>
    <n v="29"/>
    <x v="2"/>
    <n v="2"/>
    <n v="20"/>
    <n v="6"/>
    <n v="4"/>
    <n v="17"/>
  </r>
  <r>
    <n v="44"/>
    <x v="1"/>
    <n v="0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x v="0"/>
    <n v="4"/>
    <n v="80"/>
    <x v="0"/>
    <n v="10"/>
    <x v="2"/>
    <n v="2"/>
    <n v="5"/>
    <n v="2"/>
    <n v="2"/>
    <n v="3"/>
  </r>
  <r>
    <n v="25"/>
    <x v="1"/>
    <n v="0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x v="0"/>
    <n v="3"/>
    <n v="80"/>
    <x v="0"/>
    <n v="6"/>
    <x v="1"/>
    <n v="2"/>
    <n v="4"/>
    <n v="3"/>
    <n v="0"/>
    <n v="1"/>
  </r>
  <r>
    <n v="33"/>
    <x v="1"/>
    <n v="0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x v="1"/>
    <n v="1"/>
    <n v="80"/>
    <x v="1"/>
    <n v="9"/>
    <x v="3"/>
    <n v="3"/>
    <n v="9"/>
    <n v="8"/>
    <n v="0"/>
    <n v="8"/>
  </r>
  <r>
    <n v="35"/>
    <x v="1"/>
    <n v="0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x v="0"/>
    <n v="4"/>
    <n v="80"/>
    <x v="0"/>
    <n v="6"/>
    <x v="1"/>
    <n v="2"/>
    <n v="6"/>
    <n v="5"/>
    <n v="1"/>
    <n v="1"/>
  </r>
  <r>
    <n v="36"/>
    <x v="1"/>
    <n v="0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x v="0"/>
    <n v="4"/>
    <n v="80"/>
    <x v="1"/>
    <n v="18"/>
    <x v="4"/>
    <n v="2"/>
    <n v="18"/>
    <n v="14"/>
    <n v="4"/>
    <n v="11"/>
  </r>
  <r>
    <n v="32"/>
    <x v="1"/>
    <n v="0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x v="0"/>
    <n v="3"/>
    <n v="80"/>
    <x v="1"/>
    <n v="8"/>
    <x v="1"/>
    <n v="2"/>
    <n v="5"/>
    <n v="2"/>
    <n v="0"/>
    <n v="3"/>
  </r>
  <r>
    <n v="30"/>
    <x v="1"/>
    <n v="0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x v="0"/>
    <n v="2"/>
    <n v="80"/>
    <x v="1"/>
    <n v="10"/>
    <x v="1"/>
    <n v="2"/>
    <n v="5"/>
    <n v="4"/>
    <n v="0"/>
    <n v="3"/>
  </r>
  <r>
    <n v="53"/>
    <x v="1"/>
    <n v="0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x v="0"/>
    <n v="4"/>
    <n v="80"/>
    <x v="1"/>
    <n v="35"/>
    <x v="1"/>
    <n v="3"/>
    <n v="5"/>
    <n v="2"/>
    <n v="0"/>
    <n v="4"/>
  </r>
  <r>
    <n v="45"/>
    <x v="1"/>
    <n v="0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x v="0"/>
    <n v="3"/>
    <n v="80"/>
    <x v="1"/>
    <n v="18"/>
    <x v="2"/>
    <n v="3"/>
    <n v="5"/>
    <n v="4"/>
    <n v="0"/>
    <n v="2"/>
  </r>
  <r>
    <n v="32"/>
    <x v="1"/>
    <n v="0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x v="0"/>
    <n v="3"/>
    <n v="80"/>
    <x v="1"/>
    <n v="9"/>
    <x v="1"/>
    <n v="2"/>
    <n v="5"/>
    <n v="3"/>
    <n v="1"/>
    <n v="3"/>
  </r>
  <r>
    <n v="52"/>
    <x v="1"/>
    <n v="0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x v="1"/>
    <n v="3"/>
    <n v="80"/>
    <x v="0"/>
    <n v="31"/>
    <x v="1"/>
    <n v="3"/>
    <n v="9"/>
    <n v="8"/>
    <n v="0"/>
    <n v="0"/>
  </r>
  <r>
    <n v="37"/>
    <x v="1"/>
    <n v="0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x v="0"/>
    <n v="4"/>
    <n v="80"/>
    <x v="3"/>
    <n v="9"/>
    <x v="2"/>
    <n v="3"/>
    <n v="1"/>
    <n v="0"/>
    <n v="0"/>
    <n v="0"/>
  </r>
  <r>
    <n v="28"/>
    <x v="1"/>
    <n v="0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x v="0"/>
    <n v="4"/>
    <n v="80"/>
    <x v="1"/>
    <n v="6"/>
    <x v="6"/>
    <n v="3"/>
    <n v="5"/>
    <n v="1"/>
    <n v="0"/>
    <n v="4"/>
  </r>
  <r>
    <n v="22"/>
    <x v="1"/>
    <n v="0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x v="1"/>
    <n v="1"/>
    <n v="80"/>
    <x v="3"/>
    <n v="4"/>
    <x v="2"/>
    <n v="1"/>
    <n v="2"/>
    <n v="2"/>
    <n v="2"/>
    <n v="2"/>
  </r>
  <r>
    <n v="44"/>
    <x v="1"/>
    <n v="0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x v="1"/>
    <n v="3"/>
    <n v="80"/>
    <x v="1"/>
    <n v="10"/>
    <x v="2"/>
    <n v="2"/>
    <n v="3"/>
    <n v="2"/>
    <n v="0"/>
    <n v="2"/>
  </r>
  <r>
    <n v="42"/>
    <x v="1"/>
    <n v="0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x v="0"/>
    <n v="4"/>
    <n v="80"/>
    <x v="0"/>
    <n v="8"/>
    <x v="2"/>
    <n v="3"/>
    <n v="2"/>
    <n v="1"/>
    <n v="2"/>
    <n v="2"/>
  </r>
  <r>
    <n v="36"/>
    <x v="1"/>
    <n v="0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x v="1"/>
    <n v="3"/>
    <n v="80"/>
    <x v="0"/>
    <n v="6"/>
    <x v="1"/>
    <n v="3"/>
    <n v="5"/>
    <n v="4"/>
    <n v="0"/>
    <n v="3"/>
  </r>
  <r>
    <n v="25"/>
    <x v="1"/>
    <n v="0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x v="0"/>
    <n v="4"/>
    <n v="80"/>
    <x v="0"/>
    <n v="5"/>
    <x v="1"/>
    <n v="3"/>
    <n v="5"/>
    <n v="3"/>
    <n v="0"/>
    <n v="3"/>
  </r>
  <r>
    <n v="35"/>
    <x v="1"/>
    <n v="0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x v="1"/>
    <n v="2"/>
    <n v="80"/>
    <x v="1"/>
    <n v="17"/>
    <x v="2"/>
    <n v="3"/>
    <n v="17"/>
    <n v="14"/>
    <n v="5"/>
    <n v="15"/>
  </r>
  <r>
    <n v="35"/>
    <x v="0"/>
    <n v="1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x v="0"/>
    <n v="1"/>
    <n v="80"/>
    <x v="1"/>
    <n v="10"/>
    <x v="1"/>
    <n v="2"/>
    <n v="10"/>
    <n v="2"/>
    <n v="7"/>
    <n v="8"/>
  </r>
  <r>
    <n v="32"/>
    <x v="1"/>
    <n v="0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x v="0"/>
    <n v="2"/>
    <n v="80"/>
    <x v="1"/>
    <n v="4"/>
    <x v="2"/>
    <n v="3"/>
    <n v="3"/>
    <n v="0"/>
    <n v="0"/>
    <n v="2"/>
  </r>
  <r>
    <n v="25"/>
    <x v="1"/>
    <n v="0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x v="0"/>
    <n v="1"/>
    <n v="80"/>
    <x v="0"/>
    <n v="5"/>
    <x v="4"/>
    <n v="4"/>
    <n v="5"/>
    <n v="2"/>
    <n v="0"/>
    <n v="3"/>
  </r>
  <r>
    <n v="49"/>
    <x v="1"/>
    <n v="0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x v="0"/>
    <n v="2"/>
    <n v="80"/>
    <x v="1"/>
    <n v="7"/>
    <x v="2"/>
    <n v="3"/>
    <n v="4"/>
    <n v="2"/>
    <n v="0"/>
    <n v="2"/>
  </r>
  <r>
    <n v="24"/>
    <x v="1"/>
    <n v="0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x v="0"/>
    <n v="4"/>
    <n v="80"/>
    <x v="0"/>
    <n v="6"/>
    <x v="2"/>
    <n v="2"/>
    <n v="5"/>
    <n v="2"/>
    <n v="3"/>
    <n v="4"/>
  </r>
  <r>
    <n v="32"/>
    <x v="1"/>
    <n v="0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x v="0"/>
    <n v="4"/>
    <n v="80"/>
    <x v="1"/>
    <n v="10"/>
    <x v="1"/>
    <n v="3"/>
    <n v="10"/>
    <n v="8"/>
    <n v="5"/>
    <n v="3"/>
  </r>
  <r>
    <n v="38"/>
    <x v="1"/>
    <n v="0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x v="0"/>
    <n v="4"/>
    <n v="80"/>
    <x v="1"/>
    <n v="3"/>
    <x v="1"/>
    <n v="3"/>
    <n v="2"/>
    <n v="2"/>
    <n v="1"/>
    <n v="2"/>
  </r>
  <r>
    <n v="42"/>
    <x v="1"/>
    <n v="0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x v="0"/>
    <n v="2"/>
    <n v="80"/>
    <x v="1"/>
    <n v="17"/>
    <x v="4"/>
    <n v="2"/>
    <n v="5"/>
    <n v="3"/>
    <n v="1"/>
    <n v="3"/>
  </r>
  <r>
    <n v="31"/>
    <x v="1"/>
    <n v="0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x v="0"/>
    <n v="2"/>
    <n v="80"/>
    <x v="1"/>
    <n v="8"/>
    <x v="2"/>
    <n v="3"/>
    <n v="6"/>
    <n v="4"/>
    <n v="0"/>
    <n v="2"/>
  </r>
  <r>
    <n v="29"/>
    <x v="0"/>
    <n v="1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x v="0"/>
    <n v="3"/>
    <n v="80"/>
    <x v="2"/>
    <n v="5"/>
    <x v="1"/>
    <n v="3"/>
    <n v="3"/>
    <n v="2"/>
    <n v="0"/>
    <n v="2"/>
  </r>
  <r>
    <n v="53"/>
    <x v="1"/>
    <n v="0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x v="0"/>
    <n v="3"/>
    <n v="80"/>
    <x v="1"/>
    <n v="28"/>
    <x v="1"/>
    <n v="3"/>
    <n v="2"/>
    <n v="0"/>
    <n v="2"/>
    <n v="2"/>
  </r>
  <r>
    <n v="35"/>
    <x v="1"/>
    <n v="0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x v="0"/>
    <n v="1"/>
    <n v="80"/>
    <x v="0"/>
    <n v="16"/>
    <x v="2"/>
    <n v="3"/>
    <n v="13"/>
    <n v="10"/>
    <n v="4"/>
    <n v="8"/>
  </r>
  <r>
    <n v="37"/>
    <x v="1"/>
    <n v="0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x v="0"/>
    <n v="2"/>
    <n v="80"/>
    <x v="1"/>
    <n v="10"/>
    <x v="1"/>
    <n v="3"/>
    <n v="5"/>
    <n v="4"/>
    <n v="0"/>
    <n v="0"/>
  </r>
  <r>
    <n v="53"/>
    <x v="1"/>
    <n v="0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x v="0"/>
    <n v="3"/>
    <n v="80"/>
    <x v="0"/>
    <n v="33"/>
    <x v="0"/>
    <n v="3"/>
    <n v="12"/>
    <n v="9"/>
    <n v="3"/>
    <n v="8"/>
  </r>
  <r>
    <n v="43"/>
    <x v="1"/>
    <n v="0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x v="0"/>
    <n v="2"/>
    <n v="80"/>
    <x v="1"/>
    <n v="12"/>
    <x v="2"/>
    <n v="2"/>
    <n v="5"/>
    <n v="2"/>
    <n v="2"/>
    <n v="2"/>
  </r>
  <r>
    <n v="47"/>
    <x v="1"/>
    <n v="0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x v="1"/>
    <n v="1"/>
    <n v="80"/>
    <x v="1"/>
    <n v="8"/>
    <x v="2"/>
    <n v="3"/>
    <n v="7"/>
    <n v="6"/>
    <n v="7"/>
    <n v="7"/>
  </r>
  <r>
    <n v="37"/>
    <x v="1"/>
    <n v="0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x v="0"/>
    <n v="4"/>
    <n v="80"/>
    <x v="0"/>
    <n v="10"/>
    <x v="2"/>
    <n v="3"/>
    <n v="10"/>
    <n v="0"/>
    <n v="0"/>
    <n v="9"/>
  </r>
  <r>
    <n v="50"/>
    <x v="1"/>
    <n v="0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x v="0"/>
    <n v="4"/>
    <n v="80"/>
    <x v="1"/>
    <n v="31"/>
    <x v="1"/>
    <n v="3"/>
    <n v="31"/>
    <n v="6"/>
    <n v="14"/>
    <n v="7"/>
  </r>
  <r>
    <n v="39"/>
    <x v="1"/>
    <n v="0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x v="0"/>
    <n v="3"/>
    <n v="80"/>
    <x v="3"/>
    <n v="13"/>
    <x v="2"/>
    <n v="3"/>
    <n v="5"/>
    <n v="4"/>
    <n v="0"/>
    <n v="4"/>
  </r>
  <r>
    <n v="33"/>
    <x v="1"/>
    <n v="0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x v="0"/>
    <n v="3"/>
    <n v="80"/>
    <x v="1"/>
    <n v="7"/>
    <x v="5"/>
    <n v="4"/>
    <n v="4"/>
    <n v="3"/>
    <n v="0"/>
    <n v="3"/>
  </r>
  <r>
    <n v="32"/>
    <x v="0"/>
    <n v="1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x v="1"/>
    <n v="3"/>
    <n v="80"/>
    <x v="0"/>
    <n v="1"/>
    <x v="2"/>
    <n v="1"/>
    <n v="1"/>
    <n v="0"/>
    <n v="0"/>
    <n v="1"/>
  </r>
  <r>
    <n v="29"/>
    <x v="1"/>
    <n v="0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x v="0"/>
    <n v="3"/>
    <n v="80"/>
    <x v="2"/>
    <n v="8"/>
    <x v="3"/>
    <n v="3"/>
    <n v="4"/>
    <n v="3"/>
    <n v="0"/>
    <n v="3"/>
  </r>
  <r>
    <n v="44"/>
    <x v="1"/>
    <n v="0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x v="0"/>
    <n v="4"/>
    <n v="80"/>
    <x v="0"/>
    <n v="8"/>
    <x v="0"/>
    <n v="3"/>
    <n v="8"/>
    <n v="7"/>
    <n v="7"/>
    <n v="1"/>
  </r>
  <r>
    <n v="28"/>
    <x v="1"/>
    <n v="0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x v="0"/>
    <n v="2"/>
    <n v="80"/>
    <x v="0"/>
    <n v="4"/>
    <x v="1"/>
    <n v="3"/>
    <n v="4"/>
    <n v="2"/>
    <n v="0"/>
    <n v="2"/>
  </r>
  <r>
    <n v="58"/>
    <x v="0"/>
    <n v="1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x v="0"/>
    <n v="4"/>
    <n v="80"/>
    <x v="1"/>
    <n v="3"/>
    <x v="1"/>
    <n v="2"/>
    <n v="1"/>
    <n v="0"/>
    <n v="0"/>
    <n v="0"/>
  </r>
  <r>
    <n v="43"/>
    <x v="1"/>
    <n v="0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x v="1"/>
    <n v="3"/>
    <n v="80"/>
    <x v="1"/>
    <n v="4"/>
    <x v="2"/>
    <n v="4"/>
    <n v="1"/>
    <n v="0"/>
    <n v="0"/>
    <n v="0"/>
  </r>
  <r>
    <n v="20"/>
    <x v="0"/>
    <n v="1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x v="0"/>
    <n v="4"/>
    <n v="80"/>
    <x v="0"/>
    <n v="2"/>
    <x v="1"/>
    <n v="2"/>
    <n v="2"/>
    <n v="2"/>
    <n v="0"/>
    <n v="2"/>
  </r>
  <r>
    <n v="21"/>
    <x v="0"/>
    <n v="1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x v="0"/>
    <n v="1"/>
    <n v="80"/>
    <x v="0"/>
    <n v="1"/>
    <x v="1"/>
    <n v="2"/>
    <n v="1"/>
    <n v="0"/>
    <n v="0"/>
    <n v="0"/>
  </r>
  <r>
    <n v="36"/>
    <x v="1"/>
    <n v="0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x v="0"/>
    <n v="1"/>
    <n v="80"/>
    <x v="1"/>
    <n v="17"/>
    <x v="2"/>
    <n v="2"/>
    <n v="16"/>
    <n v="8"/>
    <n v="4"/>
    <n v="11"/>
  </r>
  <r>
    <n v="47"/>
    <x v="1"/>
    <n v="0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x v="0"/>
    <n v="1"/>
    <n v="80"/>
    <x v="0"/>
    <n v="3"/>
    <x v="1"/>
    <n v="2"/>
    <n v="3"/>
    <n v="2"/>
    <n v="1"/>
    <n v="2"/>
  </r>
  <r>
    <n v="22"/>
    <x v="0"/>
    <n v="1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x v="0"/>
    <n v="1"/>
    <n v="80"/>
    <x v="1"/>
    <n v="4"/>
    <x v="1"/>
    <n v="4"/>
    <n v="3"/>
    <n v="2"/>
    <n v="0"/>
    <n v="2"/>
  </r>
  <r>
    <n v="41"/>
    <x v="0"/>
    <n v="1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x v="0"/>
    <n v="3"/>
    <n v="80"/>
    <x v="1"/>
    <n v="10"/>
    <x v="4"/>
    <n v="2"/>
    <n v="7"/>
    <n v="7"/>
    <n v="1"/>
    <n v="0"/>
  </r>
  <r>
    <n v="28"/>
    <x v="1"/>
    <n v="0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x v="0"/>
    <n v="2"/>
    <n v="80"/>
    <x v="1"/>
    <n v="6"/>
    <x v="2"/>
    <n v="3"/>
    <n v="2"/>
    <n v="2"/>
    <n v="2"/>
    <n v="2"/>
  </r>
  <r>
    <n v="39"/>
    <x v="0"/>
    <n v="1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x v="1"/>
    <n v="4"/>
    <n v="80"/>
    <x v="0"/>
    <n v="8"/>
    <x v="2"/>
    <n v="1"/>
    <n v="2"/>
    <n v="2"/>
    <n v="2"/>
    <n v="2"/>
  </r>
  <r>
    <n v="27"/>
    <x v="1"/>
    <n v="0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x v="0"/>
    <n v="3"/>
    <n v="80"/>
    <x v="0"/>
    <n v="1"/>
    <x v="2"/>
    <n v="3"/>
    <n v="1"/>
    <n v="1"/>
    <n v="0"/>
    <n v="0"/>
  </r>
  <r>
    <n v="34"/>
    <x v="1"/>
    <n v="0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x v="0"/>
    <n v="2"/>
    <n v="80"/>
    <x v="3"/>
    <n v="1"/>
    <x v="1"/>
    <n v="3"/>
    <n v="1"/>
    <n v="0"/>
    <n v="1"/>
    <n v="0"/>
  </r>
  <r>
    <n v="42"/>
    <x v="1"/>
    <n v="0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x v="0"/>
    <n v="1"/>
    <n v="80"/>
    <x v="0"/>
    <n v="10"/>
    <x v="6"/>
    <n v="3"/>
    <n v="5"/>
    <n v="4"/>
    <n v="0"/>
    <n v="3"/>
  </r>
  <r>
    <n v="33"/>
    <x v="1"/>
    <n v="0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x v="0"/>
    <n v="2"/>
    <n v="80"/>
    <x v="0"/>
    <n v="6"/>
    <x v="4"/>
    <n v="3"/>
    <n v="3"/>
    <n v="2"/>
    <n v="0"/>
    <n v="2"/>
  </r>
  <r>
    <n v="58"/>
    <x v="1"/>
    <n v="0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x v="0"/>
    <n v="4"/>
    <n v="80"/>
    <x v="1"/>
    <n v="24"/>
    <x v="1"/>
    <n v="3"/>
    <n v="6"/>
    <n v="0"/>
    <n v="0"/>
    <n v="4"/>
  </r>
  <r>
    <n v="31"/>
    <x v="1"/>
    <n v="0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x v="0"/>
    <n v="2"/>
    <n v="80"/>
    <x v="0"/>
    <n v="13"/>
    <x v="2"/>
    <n v="4"/>
    <n v="7"/>
    <n v="7"/>
    <n v="5"/>
    <n v="2"/>
  </r>
  <r>
    <n v="35"/>
    <x v="1"/>
    <n v="0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x v="1"/>
    <n v="4"/>
    <n v="80"/>
    <x v="1"/>
    <n v="10"/>
    <x v="2"/>
    <n v="1"/>
    <n v="10"/>
    <n v="6"/>
    <n v="0"/>
    <n v="7"/>
  </r>
  <r>
    <n v="49"/>
    <x v="1"/>
    <n v="0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x v="0"/>
    <n v="3"/>
    <n v="80"/>
    <x v="1"/>
    <n v="29"/>
    <x v="1"/>
    <n v="2"/>
    <n v="26"/>
    <n v="9"/>
    <n v="1"/>
    <n v="7"/>
  </r>
  <r>
    <n v="48"/>
    <x v="1"/>
    <n v="0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x v="0"/>
    <n v="1"/>
    <n v="80"/>
    <x v="3"/>
    <n v="13"/>
    <x v="2"/>
    <n v="2"/>
    <n v="0"/>
    <n v="0"/>
    <n v="0"/>
    <n v="0"/>
  </r>
  <r>
    <n v="31"/>
    <x v="1"/>
    <n v="0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x v="0"/>
    <n v="4"/>
    <n v="80"/>
    <x v="1"/>
    <n v="9"/>
    <x v="2"/>
    <n v="2"/>
    <n v="9"/>
    <n v="8"/>
    <n v="0"/>
    <n v="0"/>
  </r>
  <r>
    <n v="36"/>
    <x v="1"/>
    <n v="0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x v="0"/>
    <n v="3"/>
    <n v="80"/>
    <x v="0"/>
    <n v="8"/>
    <x v="6"/>
    <n v="3"/>
    <n v="6"/>
    <n v="2"/>
    <n v="0"/>
    <n v="1"/>
  </r>
  <r>
    <n v="38"/>
    <x v="1"/>
    <n v="0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x v="0"/>
    <n v="2"/>
    <n v="80"/>
    <x v="1"/>
    <n v="15"/>
    <x v="1"/>
    <n v="3"/>
    <n v="15"/>
    <n v="12"/>
    <n v="5"/>
    <n v="11"/>
  </r>
  <r>
    <n v="32"/>
    <x v="1"/>
    <n v="0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x v="1"/>
    <n v="3"/>
    <n v="80"/>
    <x v="0"/>
    <n v="5"/>
    <x v="1"/>
    <n v="3"/>
    <n v="3"/>
    <n v="0"/>
    <n v="0"/>
    <n v="2"/>
  </r>
  <r>
    <n v="25"/>
    <x v="0"/>
    <n v="1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x v="0"/>
    <n v="3"/>
    <n v="80"/>
    <x v="2"/>
    <n v="1"/>
    <x v="2"/>
    <n v="3"/>
    <n v="1"/>
    <n v="0"/>
    <n v="0"/>
    <n v="0"/>
  </r>
  <r>
    <n v="40"/>
    <x v="1"/>
    <n v="0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x v="0"/>
    <n v="2"/>
    <n v="80"/>
    <x v="1"/>
    <n v="11"/>
    <x v="2"/>
    <n v="2"/>
    <n v="1"/>
    <n v="0"/>
    <n v="0"/>
    <n v="0"/>
  </r>
  <r>
    <n v="26"/>
    <x v="1"/>
    <n v="0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x v="0"/>
    <n v="2"/>
    <n v="80"/>
    <x v="0"/>
    <n v="7"/>
    <x v="2"/>
    <n v="3"/>
    <n v="7"/>
    <n v="7"/>
    <n v="0"/>
    <n v="7"/>
  </r>
  <r>
    <n v="41"/>
    <x v="1"/>
    <n v="0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x v="0"/>
    <n v="3"/>
    <n v="80"/>
    <x v="0"/>
    <n v="20"/>
    <x v="1"/>
    <n v="3"/>
    <n v="18"/>
    <n v="13"/>
    <n v="2"/>
    <n v="17"/>
  </r>
  <r>
    <n v="36"/>
    <x v="1"/>
    <n v="0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x v="1"/>
    <n v="3"/>
    <n v="80"/>
    <x v="0"/>
    <n v="16"/>
    <x v="6"/>
    <n v="3"/>
    <n v="11"/>
    <n v="8"/>
    <n v="3"/>
    <n v="9"/>
  </r>
  <r>
    <n v="19"/>
    <x v="0"/>
    <n v="1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x v="0"/>
    <n v="2"/>
    <n v="80"/>
    <x v="0"/>
    <n v="1"/>
    <x v="1"/>
    <n v="4"/>
    <n v="1"/>
    <n v="0"/>
    <n v="0"/>
    <n v="0"/>
  </r>
  <r>
    <n v="20"/>
    <x v="0"/>
    <n v="1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x v="0"/>
    <n v="2"/>
    <n v="80"/>
    <x v="0"/>
    <n v="1"/>
    <x v="2"/>
    <n v="3"/>
    <n v="1"/>
    <n v="0"/>
    <n v="0"/>
    <n v="0"/>
  </r>
  <r>
    <n v="31"/>
    <x v="1"/>
    <n v="0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x v="0"/>
    <n v="3"/>
    <n v="80"/>
    <x v="3"/>
    <n v="10"/>
    <x v="2"/>
    <n v="1"/>
    <n v="9"/>
    <n v="7"/>
    <n v="8"/>
    <n v="5"/>
  </r>
  <r>
    <n v="40"/>
    <x v="1"/>
    <n v="0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x v="0"/>
    <n v="4"/>
    <n v="80"/>
    <x v="1"/>
    <n v="3"/>
    <x v="2"/>
    <n v="3"/>
    <n v="1"/>
    <n v="1"/>
    <n v="0"/>
    <n v="0"/>
  </r>
  <r>
    <n v="32"/>
    <x v="1"/>
    <n v="0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x v="0"/>
    <n v="3"/>
    <n v="80"/>
    <x v="1"/>
    <n v="8"/>
    <x v="2"/>
    <n v="4"/>
    <n v="8"/>
    <n v="7"/>
    <n v="6"/>
    <n v="3"/>
  </r>
  <r>
    <n v="36"/>
    <x v="0"/>
    <n v="1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x v="0"/>
    <n v="1"/>
    <n v="80"/>
    <x v="1"/>
    <n v="16"/>
    <x v="6"/>
    <n v="3"/>
    <n v="16"/>
    <n v="7"/>
    <n v="3"/>
    <n v="7"/>
  </r>
  <r>
    <n v="33"/>
    <x v="1"/>
    <n v="0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x v="0"/>
    <n v="1"/>
    <n v="80"/>
    <x v="0"/>
    <n v="6"/>
    <x v="1"/>
    <n v="3"/>
    <n v="5"/>
    <n v="0"/>
    <n v="1"/>
    <n v="4"/>
  </r>
  <r>
    <n v="37"/>
    <x v="0"/>
    <n v="1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x v="0"/>
    <n v="3"/>
    <n v="80"/>
    <x v="0"/>
    <n v="17"/>
    <x v="2"/>
    <n v="1"/>
    <n v="14"/>
    <n v="1"/>
    <n v="11"/>
    <n v="7"/>
  </r>
  <r>
    <n v="45"/>
    <x v="1"/>
    <n v="0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x v="0"/>
    <n v="2"/>
    <n v="80"/>
    <x v="0"/>
    <n v="9"/>
    <x v="3"/>
    <n v="2"/>
    <n v="9"/>
    <n v="7"/>
    <n v="0"/>
    <n v="8"/>
  </r>
  <r>
    <n v="29"/>
    <x v="1"/>
    <n v="0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x v="0"/>
    <n v="2"/>
    <n v="80"/>
    <x v="1"/>
    <n v="3"/>
    <x v="3"/>
    <n v="3"/>
    <n v="3"/>
    <n v="1"/>
    <n v="0"/>
    <n v="2"/>
  </r>
  <r>
    <n v="35"/>
    <x v="1"/>
    <n v="0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x v="0"/>
    <n v="2"/>
    <n v="80"/>
    <x v="0"/>
    <n v="5"/>
    <x v="1"/>
    <n v="3"/>
    <n v="5"/>
    <n v="2"/>
    <n v="1"/>
    <n v="0"/>
  </r>
  <r>
    <n v="52"/>
    <x v="1"/>
    <n v="0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x v="0"/>
    <n v="2"/>
    <n v="80"/>
    <x v="1"/>
    <n v="26"/>
    <x v="2"/>
    <n v="2"/>
    <n v="9"/>
    <n v="8"/>
    <n v="7"/>
    <n v="8"/>
  </r>
  <r>
    <n v="58"/>
    <x v="0"/>
    <n v="1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x v="1"/>
    <n v="1"/>
    <n v="80"/>
    <x v="0"/>
    <n v="7"/>
    <x v="5"/>
    <n v="3"/>
    <n v="1"/>
    <n v="0"/>
    <n v="0"/>
    <n v="0"/>
  </r>
  <r>
    <n v="53"/>
    <x v="1"/>
    <n v="0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x v="0"/>
    <n v="3"/>
    <n v="80"/>
    <x v="1"/>
    <n v="22"/>
    <x v="1"/>
    <n v="4"/>
    <n v="17"/>
    <n v="13"/>
    <n v="15"/>
    <n v="2"/>
  </r>
  <r>
    <n v="30"/>
    <x v="1"/>
    <n v="0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x v="0"/>
    <n v="1"/>
    <n v="80"/>
    <x v="1"/>
    <n v="10"/>
    <x v="2"/>
    <n v="4"/>
    <n v="8"/>
    <n v="4"/>
    <n v="7"/>
    <n v="7"/>
  </r>
  <r>
    <n v="38"/>
    <x v="1"/>
    <n v="0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x v="0"/>
    <n v="2"/>
    <n v="80"/>
    <x v="0"/>
    <n v="6"/>
    <x v="4"/>
    <n v="3"/>
    <n v="5"/>
    <n v="3"/>
    <n v="1"/>
    <n v="3"/>
  </r>
  <r>
    <n v="35"/>
    <x v="1"/>
    <n v="0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x v="0"/>
    <n v="2"/>
    <n v="80"/>
    <x v="1"/>
    <n v="12"/>
    <x v="2"/>
    <n v="3"/>
    <n v="10"/>
    <n v="9"/>
    <n v="0"/>
    <n v="8"/>
  </r>
  <r>
    <n v="39"/>
    <x v="1"/>
    <n v="0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x v="0"/>
    <n v="4"/>
    <n v="80"/>
    <x v="0"/>
    <n v="9"/>
    <x v="1"/>
    <n v="3"/>
    <n v="8"/>
    <n v="7"/>
    <n v="0"/>
    <n v="7"/>
  </r>
  <r>
    <n v="40"/>
    <x v="0"/>
    <n v="1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x v="0"/>
    <n v="4"/>
    <n v="80"/>
    <x v="0"/>
    <n v="22"/>
    <x v="2"/>
    <n v="2"/>
    <n v="1"/>
    <n v="0"/>
    <n v="0"/>
    <n v="0"/>
  </r>
  <r>
    <n v="47"/>
    <x v="1"/>
    <n v="0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x v="0"/>
    <n v="3"/>
    <n v="80"/>
    <x v="0"/>
    <n v="20"/>
    <x v="1"/>
    <n v="4"/>
    <n v="19"/>
    <n v="10"/>
    <n v="2"/>
    <n v="7"/>
  </r>
  <r>
    <n v="36"/>
    <x v="1"/>
    <n v="0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x v="0"/>
    <n v="4"/>
    <n v="80"/>
    <x v="3"/>
    <n v="12"/>
    <x v="1"/>
    <n v="3"/>
    <n v="7"/>
    <n v="7"/>
    <n v="0"/>
    <n v="7"/>
  </r>
  <r>
    <n v="31"/>
    <x v="0"/>
    <n v="1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x v="1"/>
    <n v="1"/>
    <n v="80"/>
    <x v="0"/>
    <n v="4"/>
    <x v="0"/>
    <n v="3"/>
    <n v="3"/>
    <n v="2"/>
    <n v="1"/>
    <n v="2"/>
  </r>
  <r>
    <n v="33"/>
    <x v="1"/>
    <n v="0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x v="0"/>
    <n v="4"/>
    <n v="80"/>
    <x v="0"/>
    <n v="10"/>
    <x v="2"/>
    <n v="3"/>
    <n v="10"/>
    <n v="8"/>
    <n v="6"/>
    <n v="0"/>
  </r>
  <r>
    <n v="29"/>
    <x v="0"/>
    <n v="1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x v="1"/>
    <n v="3"/>
    <n v="80"/>
    <x v="0"/>
    <n v="3"/>
    <x v="3"/>
    <n v="3"/>
    <n v="0"/>
    <n v="0"/>
    <n v="0"/>
    <n v="0"/>
  </r>
  <r>
    <n v="33"/>
    <x v="1"/>
    <n v="0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x v="0"/>
    <n v="1"/>
    <n v="80"/>
    <x v="0"/>
    <n v="5"/>
    <x v="5"/>
    <n v="3"/>
    <n v="3"/>
    <n v="2"/>
    <n v="0"/>
    <n v="2"/>
  </r>
  <r>
    <n v="45"/>
    <x v="1"/>
    <n v="0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x v="0"/>
    <n v="4"/>
    <n v="80"/>
    <x v="3"/>
    <n v="8"/>
    <x v="2"/>
    <n v="3"/>
    <n v="5"/>
    <n v="3"/>
    <n v="0"/>
    <n v="2"/>
  </r>
  <r>
    <n v="50"/>
    <x v="1"/>
    <n v="0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x v="1"/>
    <n v="3"/>
    <n v="80"/>
    <x v="1"/>
    <n v="32"/>
    <x v="4"/>
    <n v="2"/>
    <n v="5"/>
    <n v="4"/>
    <n v="1"/>
    <n v="3"/>
  </r>
  <r>
    <n v="33"/>
    <x v="1"/>
    <n v="0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x v="0"/>
    <n v="1"/>
    <n v="80"/>
    <x v="1"/>
    <n v="6"/>
    <x v="2"/>
    <n v="3"/>
    <n v="6"/>
    <n v="5"/>
    <n v="1"/>
    <n v="2"/>
  </r>
  <r>
    <n v="41"/>
    <x v="1"/>
    <n v="0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x v="0"/>
    <n v="2"/>
    <n v="80"/>
    <x v="1"/>
    <n v="21"/>
    <x v="2"/>
    <n v="4"/>
    <n v="18"/>
    <n v="16"/>
    <n v="0"/>
    <n v="11"/>
  </r>
  <r>
    <n v="27"/>
    <x v="1"/>
    <n v="0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x v="0"/>
    <n v="2"/>
    <n v="80"/>
    <x v="1"/>
    <n v="4"/>
    <x v="2"/>
    <n v="3"/>
    <n v="2"/>
    <n v="2"/>
    <n v="2"/>
    <n v="2"/>
  </r>
  <r>
    <n v="45"/>
    <x v="1"/>
    <n v="0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x v="0"/>
    <n v="3"/>
    <n v="80"/>
    <x v="1"/>
    <n v="9"/>
    <x v="2"/>
    <n v="3"/>
    <n v="9"/>
    <n v="8"/>
    <n v="0"/>
    <n v="8"/>
  </r>
  <r>
    <n v="47"/>
    <x v="1"/>
    <n v="0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x v="0"/>
    <n v="3"/>
    <n v="80"/>
    <x v="0"/>
    <n v="9"/>
    <x v="0"/>
    <n v="3"/>
    <n v="9"/>
    <n v="0"/>
    <n v="0"/>
    <n v="7"/>
  </r>
  <r>
    <n v="30"/>
    <x v="0"/>
    <n v="1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x v="0"/>
    <n v="2"/>
    <n v="80"/>
    <x v="0"/>
    <n v="7"/>
    <x v="2"/>
    <n v="3"/>
    <n v="5"/>
    <n v="2"/>
    <n v="0"/>
    <n v="1"/>
  </r>
  <r>
    <n v="50"/>
    <x v="1"/>
    <n v="0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x v="0"/>
    <n v="4"/>
    <n v="80"/>
    <x v="1"/>
    <n v="22"/>
    <x v="2"/>
    <n v="3"/>
    <n v="12"/>
    <n v="11"/>
    <n v="1"/>
    <n v="5"/>
  </r>
  <r>
    <n v="38"/>
    <x v="1"/>
    <n v="0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x v="0"/>
    <n v="2"/>
    <n v="80"/>
    <x v="1"/>
    <n v="3"/>
    <x v="0"/>
    <n v="2"/>
    <n v="2"/>
    <n v="1"/>
    <n v="0"/>
    <n v="2"/>
  </r>
  <r>
    <n v="46"/>
    <x v="1"/>
    <n v="0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x v="0"/>
    <n v="2"/>
    <n v="80"/>
    <x v="1"/>
    <n v="13"/>
    <x v="1"/>
    <n v="3"/>
    <n v="8"/>
    <n v="7"/>
    <n v="0"/>
    <n v="7"/>
  </r>
  <r>
    <n v="24"/>
    <x v="1"/>
    <n v="0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x v="0"/>
    <n v="2"/>
    <n v="80"/>
    <x v="3"/>
    <n v="5"/>
    <x v="6"/>
    <n v="3"/>
    <n v="4"/>
    <n v="2"/>
    <n v="3"/>
    <n v="2"/>
  </r>
  <r>
    <n v="35"/>
    <x v="0"/>
    <n v="1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x v="1"/>
    <n v="4"/>
    <n v="80"/>
    <x v="1"/>
    <n v="5"/>
    <x v="2"/>
    <n v="1"/>
    <n v="4"/>
    <n v="2"/>
    <n v="0"/>
    <n v="2"/>
  </r>
  <r>
    <n v="31"/>
    <x v="1"/>
    <n v="0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x v="0"/>
    <n v="3"/>
    <n v="80"/>
    <x v="1"/>
    <n v="4"/>
    <x v="4"/>
    <n v="3"/>
    <n v="4"/>
    <n v="3"/>
    <n v="0"/>
    <n v="3"/>
  </r>
  <r>
    <n v="18"/>
    <x v="1"/>
    <n v="0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x v="0"/>
    <n v="4"/>
    <n v="80"/>
    <x v="0"/>
    <n v="0"/>
    <x v="2"/>
    <n v="3"/>
    <n v="0"/>
    <n v="0"/>
    <n v="0"/>
    <n v="0"/>
  </r>
  <r>
    <n v="54"/>
    <x v="1"/>
    <n v="0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x v="0"/>
    <n v="3"/>
    <n v="80"/>
    <x v="1"/>
    <n v="22"/>
    <x v="2"/>
    <n v="3"/>
    <n v="10"/>
    <n v="7"/>
    <n v="0"/>
    <n v="8"/>
  </r>
  <r>
    <n v="35"/>
    <x v="1"/>
    <n v="0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x v="0"/>
    <n v="3"/>
    <n v="80"/>
    <x v="1"/>
    <n v="16"/>
    <x v="1"/>
    <n v="2"/>
    <n v="16"/>
    <n v="10"/>
    <n v="10"/>
    <n v="1"/>
  </r>
  <r>
    <n v="30"/>
    <x v="1"/>
    <n v="0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x v="0"/>
    <n v="3"/>
    <n v="80"/>
    <x v="2"/>
    <n v="9"/>
    <x v="5"/>
    <n v="2"/>
    <n v="8"/>
    <n v="7"/>
    <n v="1"/>
    <n v="7"/>
  </r>
  <r>
    <n v="20"/>
    <x v="0"/>
    <n v="1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x v="0"/>
    <n v="1"/>
    <n v="80"/>
    <x v="0"/>
    <n v="1"/>
    <x v="2"/>
    <n v="3"/>
    <n v="1"/>
    <n v="0"/>
    <n v="0"/>
    <n v="0"/>
  </r>
  <r>
    <n v="30"/>
    <x v="0"/>
    <n v="1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x v="0"/>
    <n v="1"/>
    <n v="80"/>
    <x v="0"/>
    <n v="4"/>
    <x v="1"/>
    <n v="3"/>
    <n v="3"/>
    <n v="2"/>
    <n v="1"/>
    <n v="2"/>
  </r>
  <r>
    <n v="26"/>
    <x v="1"/>
    <n v="0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x v="0"/>
    <n v="2"/>
    <n v="80"/>
    <x v="0"/>
    <n v="8"/>
    <x v="2"/>
    <n v="3"/>
    <n v="8"/>
    <n v="7"/>
    <n v="1"/>
    <n v="3"/>
  </r>
  <r>
    <n v="22"/>
    <x v="1"/>
    <n v="0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x v="0"/>
    <n v="1"/>
    <n v="80"/>
    <x v="1"/>
    <n v="4"/>
    <x v="1"/>
    <n v="2"/>
    <n v="4"/>
    <n v="3"/>
    <n v="1"/>
    <n v="1"/>
  </r>
  <r>
    <n v="48"/>
    <x v="1"/>
    <n v="0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x v="0"/>
    <n v="4"/>
    <n v="80"/>
    <x v="0"/>
    <n v="19"/>
    <x v="0"/>
    <n v="3"/>
    <n v="2"/>
    <n v="2"/>
    <n v="2"/>
    <n v="2"/>
  </r>
  <r>
    <n v="48"/>
    <x v="1"/>
    <n v="0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x v="0"/>
    <n v="2"/>
    <n v="80"/>
    <x v="0"/>
    <n v="27"/>
    <x v="1"/>
    <n v="3"/>
    <n v="15"/>
    <n v="11"/>
    <n v="4"/>
    <n v="8"/>
  </r>
  <r>
    <n v="41"/>
    <x v="1"/>
    <n v="0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x v="0"/>
    <n v="2"/>
    <n v="80"/>
    <x v="0"/>
    <n v="8"/>
    <x v="6"/>
    <n v="3"/>
    <n v="2"/>
    <n v="2"/>
    <n v="2"/>
    <n v="1"/>
  </r>
  <r>
    <n v="39"/>
    <x v="1"/>
    <n v="0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x v="0"/>
    <n v="3"/>
    <n v="80"/>
    <x v="1"/>
    <n v="21"/>
    <x v="1"/>
    <n v="3"/>
    <n v="21"/>
    <n v="6"/>
    <n v="11"/>
    <n v="8"/>
  </r>
  <r>
    <n v="27"/>
    <x v="1"/>
    <n v="0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x v="0"/>
    <n v="2"/>
    <n v="80"/>
    <x v="1"/>
    <n v="4"/>
    <x v="2"/>
    <n v="3"/>
    <n v="3"/>
    <n v="2"/>
    <n v="2"/>
    <n v="2"/>
  </r>
  <r>
    <n v="35"/>
    <x v="1"/>
    <n v="0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x v="1"/>
    <n v="1"/>
    <n v="80"/>
    <x v="1"/>
    <n v="3"/>
    <x v="5"/>
    <n v="2"/>
    <n v="3"/>
    <n v="2"/>
    <n v="1"/>
    <n v="2"/>
  </r>
  <r>
    <n v="42"/>
    <x v="1"/>
    <n v="0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x v="0"/>
    <n v="2"/>
    <n v="80"/>
    <x v="0"/>
    <n v="21"/>
    <x v="1"/>
    <n v="4"/>
    <n v="1"/>
    <n v="0"/>
    <n v="0"/>
    <n v="0"/>
  </r>
  <r>
    <n v="50"/>
    <x v="1"/>
    <n v="0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x v="0"/>
    <n v="2"/>
    <n v="80"/>
    <x v="0"/>
    <n v="8"/>
    <x v="3"/>
    <n v="3"/>
    <n v="1"/>
    <n v="0"/>
    <n v="0"/>
    <n v="0"/>
  </r>
  <r>
    <n v="59"/>
    <x v="1"/>
    <n v="0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x v="0"/>
    <n v="1"/>
    <n v="80"/>
    <x v="0"/>
    <n v="30"/>
    <x v="5"/>
    <n v="3"/>
    <n v="5"/>
    <n v="3"/>
    <n v="4"/>
    <n v="3"/>
  </r>
  <r>
    <n v="37"/>
    <x v="0"/>
    <n v="1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x v="0"/>
    <n v="1"/>
    <n v="80"/>
    <x v="0"/>
    <n v="15"/>
    <x v="2"/>
    <n v="1"/>
    <n v="1"/>
    <n v="0"/>
    <n v="0"/>
    <n v="0"/>
  </r>
  <r>
    <n v="55"/>
    <x v="1"/>
    <n v="0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x v="0"/>
    <n v="4"/>
    <n v="80"/>
    <x v="3"/>
    <n v="17"/>
    <x v="1"/>
    <n v="3"/>
    <n v="8"/>
    <n v="7"/>
    <n v="6"/>
    <n v="7"/>
  </r>
  <r>
    <n v="41"/>
    <x v="1"/>
    <n v="0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x v="1"/>
    <n v="2"/>
    <n v="80"/>
    <x v="3"/>
    <n v="21"/>
    <x v="1"/>
    <n v="3"/>
    <n v="21"/>
    <n v="16"/>
    <n v="5"/>
    <n v="10"/>
  </r>
  <r>
    <n v="38"/>
    <x v="1"/>
    <n v="0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x v="0"/>
    <n v="3"/>
    <n v="80"/>
    <x v="0"/>
    <n v="19"/>
    <x v="4"/>
    <n v="3"/>
    <n v="1"/>
    <n v="0"/>
    <n v="0"/>
    <n v="0"/>
  </r>
  <r>
    <n v="26"/>
    <x v="0"/>
    <n v="1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x v="0"/>
    <n v="4"/>
    <n v="80"/>
    <x v="0"/>
    <n v="7"/>
    <x v="6"/>
    <n v="3"/>
    <n v="2"/>
    <n v="2"/>
    <n v="2"/>
    <n v="2"/>
  </r>
  <r>
    <n v="52"/>
    <x v="0"/>
    <n v="1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x v="0"/>
    <n v="4"/>
    <n v="80"/>
    <x v="1"/>
    <n v="33"/>
    <x v="1"/>
    <n v="3"/>
    <n v="32"/>
    <n v="14"/>
    <n v="6"/>
    <n v="9"/>
  </r>
  <r>
    <n v="44"/>
    <x v="1"/>
    <n v="0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x v="0"/>
    <n v="3"/>
    <n v="80"/>
    <x v="1"/>
    <n v="23"/>
    <x v="2"/>
    <n v="3"/>
    <n v="12"/>
    <n v="11"/>
    <n v="11"/>
    <n v="11"/>
  </r>
  <r>
    <n v="50"/>
    <x v="1"/>
    <n v="0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x v="0"/>
    <n v="1"/>
    <n v="80"/>
    <x v="1"/>
    <n v="19"/>
    <x v="1"/>
    <n v="3"/>
    <n v="18"/>
    <n v="7"/>
    <n v="0"/>
    <n v="13"/>
  </r>
  <r>
    <n v="36"/>
    <x v="0"/>
    <n v="1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x v="0"/>
    <n v="3"/>
    <n v="80"/>
    <x v="0"/>
    <n v="18"/>
    <x v="4"/>
    <n v="3"/>
    <n v="17"/>
    <n v="13"/>
    <n v="15"/>
    <n v="14"/>
  </r>
  <r>
    <n v="39"/>
    <x v="1"/>
    <n v="0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x v="0"/>
    <n v="3"/>
    <n v="80"/>
    <x v="0"/>
    <n v="21"/>
    <x v="2"/>
    <n v="3"/>
    <n v="21"/>
    <n v="6"/>
    <n v="2"/>
    <n v="8"/>
  </r>
  <r>
    <n v="33"/>
    <x v="1"/>
    <n v="0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x v="0"/>
    <n v="4"/>
    <n v="80"/>
    <x v="0"/>
    <n v="3"/>
    <x v="2"/>
    <n v="2"/>
    <n v="2"/>
    <n v="2"/>
    <n v="2"/>
    <n v="2"/>
  </r>
  <r>
    <n v="45"/>
    <x v="1"/>
    <n v="0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x v="0"/>
    <n v="2"/>
    <n v="80"/>
    <x v="1"/>
    <n v="26"/>
    <x v="5"/>
    <n v="4"/>
    <n v="9"/>
    <n v="3"/>
    <n v="1"/>
    <n v="1"/>
  </r>
  <r>
    <n v="32"/>
    <x v="1"/>
    <n v="0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x v="0"/>
    <n v="2"/>
    <n v="80"/>
    <x v="0"/>
    <n v="10"/>
    <x v="2"/>
    <n v="3"/>
    <n v="8"/>
    <n v="7"/>
    <n v="7"/>
    <n v="7"/>
  </r>
  <r>
    <n v="34"/>
    <x v="1"/>
    <n v="0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x v="0"/>
    <n v="4"/>
    <n v="80"/>
    <x v="1"/>
    <n v="16"/>
    <x v="2"/>
    <n v="2"/>
    <n v="15"/>
    <n v="1"/>
    <n v="0"/>
    <n v="9"/>
  </r>
  <r>
    <n v="59"/>
    <x v="1"/>
    <n v="0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x v="0"/>
    <n v="3"/>
    <n v="80"/>
    <x v="1"/>
    <n v="14"/>
    <x v="4"/>
    <n v="1"/>
    <n v="6"/>
    <n v="4"/>
    <n v="0"/>
    <n v="4"/>
  </r>
  <r>
    <n v="45"/>
    <x v="1"/>
    <n v="0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x v="0"/>
    <n v="1"/>
    <n v="80"/>
    <x v="0"/>
    <n v="6"/>
    <x v="1"/>
    <n v="3"/>
    <n v="6"/>
    <n v="3"/>
    <n v="0"/>
    <n v="4"/>
  </r>
  <r>
    <n v="53"/>
    <x v="1"/>
    <n v="0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x v="0"/>
    <n v="1"/>
    <n v="80"/>
    <x v="1"/>
    <n v="30"/>
    <x v="2"/>
    <n v="3"/>
    <n v="15"/>
    <n v="7"/>
    <n v="6"/>
    <n v="12"/>
  </r>
  <r>
    <n v="36"/>
    <x v="0"/>
    <n v="1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x v="0"/>
    <n v="2"/>
    <n v="80"/>
    <x v="1"/>
    <n v="9"/>
    <x v="1"/>
    <n v="2"/>
    <n v="1"/>
    <n v="0"/>
    <n v="0"/>
    <n v="0"/>
  </r>
  <r>
    <n v="26"/>
    <x v="0"/>
    <n v="1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x v="0"/>
    <n v="2"/>
    <n v="80"/>
    <x v="1"/>
    <n v="6"/>
    <x v="2"/>
    <n v="3"/>
    <n v="3"/>
    <n v="2"/>
    <n v="1"/>
    <n v="2"/>
  </r>
  <r>
    <n v="34"/>
    <x v="1"/>
    <n v="0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x v="0"/>
    <n v="4"/>
    <n v="80"/>
    <x v="1"/>
    <n v="1"/>
    <x v="2"/>
    <n v="3"/>
    <n v="1"/>
    <n v="1"/>
    <n v="0"/>
    <n v="0"/>
  </r>
  <r>
    <n v="28"/>
    <x v="1"/>
    <n v="0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x v="1"/>
    <n v="2"/>
    <n v="80"/>
    <x v="0"/>
    <n v="1"/>
    <x v="3"/>
    <n v="3"/>
    <n v="1"/>
    <n v="0"/>
    <n v="0"/>
    <n v="0"/>
  </r>
  <r>
    <n v="38"/>
    <x v="1"/>
    <n v="0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x v="0"/>
    <n v="1"/>
    <n v="80"/>
    <x v="1"/>
    <n v="8"/>
    <x v="2"/>
    <n v="3"/>
    <n v="2"/>
    <n v="2"/>
    <n v="2"/>
    <n v="2"/>
  </r>
  <r>
    <n v="50"/>
    <x v="1"/>
    <n v="0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x v="0"/>
    <n v="4"/>
    <n v="80"/>
    <x v="1"/>
    <n v="29"/>
    <x v="2"/>
    <n v="2"/>
    <n v="8"/>
    <n v="1"/>
    <n v="7"/>
    <n v="7"/>
  </r>
  <r>
    <n v="37"/>
    <x v="1"/>
    <n v="0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x v="0"/>
    <n v="1"/>
    <n v="80"/>
    <x v="0"/>
    <n v="8"/>
    <x v="1"/>
    <n v="2"/>
    <n v="4"/>
    <n v="3"/>
    <n v="0"/>
    <n v="1"/>
  </r>
  <r>
    <n v="40"/>
    <x v="1"/>
    <n v="0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x v="0"/>
    <n v="2"/>
    <n v="80"/>
    <x v="1"/>
    <n v="8"/>
    <x v="1"/>
    <n v="2"/>
    <n v="7"/>
    <n v="7"/>
    <n v="7"/>
    <n v="5"/>
  </r>
  <r>
    <n v="26"/>
    <x v="1"/>
    <n v="0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x v="0"/>
    <n v="3"/>
    <n v="80"/>
    <x v="3"/>
    <n v="5"/>
    <x v="3"/>
    <n v="3"/>
    <n v="5"/>
    <n v="3"/>
    <n v="1"/>
    <n v="3"/>
  </r>
  <r>
    <n v="46"/>
    <x v="1"/>
    <n v="0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x v="0"/>
    <n v="4"/>
    <n v="80"/>
    <x v="3"/>
    <n v="23"/>
    <x v="0"/>
    <n v="3"/>
    <n v="2"/>
    <n v="2"/>
    <n v="2"/>
    <n v="2"/>
  </r>
  <r>
    <n v="54"/>
    <x v="1"/>
    <n v="0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x v="0"/>
    <n v="2"/>
    <n v="80"/>
    <x v="1"/>
    <n v="13"/>
    <x v="5"/>
    <n v="3"/>
    <n v="9"/>
    <n v="4"/>
    <n v="7"/>
    <n v="0"/>
  </r>
  <r>
    <n v="56"/>
    <x v="1"/>
    <n v="0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x v="0"/>
    <n v="2"/>
    <n v="80"/>
    <x v="1"/>
    <n v="18"/>
    <x v="5"/>
    <n v="3"/>
    <n v="5"/>
    <n v="4"/>
    <n v="0"/>
    <n v="3"/>
  </r>
  <r>
    <n v="36"/>
    <x v="1"/>
    <n v="0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x v="0"/>
    <n v="2"/>
    <n v="80"/>
    <x v="0"/>
    <n v="15"/>
    <x v="2"/>
    <n v="2"/>
    <n v="14"/>
    <n v="8"/>
    <n v="7"/>
    <n v="8"/>
  </r>
  <r>
    <n v="55"/>
    <x v="1"/>
    <n v="0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x v="0"/>
    <n v="2"/>
    <n v="80"/>
    <x v="0"/>
    <n v="31"/>
    <x v="1"/>
    <n v="4"/>
    <n v="9"/>
    <n v="7"/>
    <n v="6"/>
    <n v="2"/>
  </r>
  <r>
    <n v="43"/>
    <x v="1"/>
    <n v="0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x v="0"/>
    <n v="3"/>
    <n v="80"/>
    <x v="1"/>
    <n v="18"/>
    <x v="3"/>
    <n v="3"/>
    <n v="1"/>
    <n v="0"/>
    <n v="0"/>
    <n v="0"/>
  </r>
  <r>
    <n v="20"/>
    <x v="0"/>
    <n v="1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x v="0"/>
    <n v="2"/>
    <n v="80"/>
    <x v="0"/>
    <n v="2"/>
    <x v="1"/>
    <n v="3"/>
    <n v="2"/>
    <n v="2"/>
    <n v="0"/>
    <n v="2"/>
  </r>
  <r>
    <n v="21"/>
    <x v="0"/>
    <n v="1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x v="0"/>
    <n v="1"/>
    <n v="80"/>
    <x v="0"/>
    <n v="1"/>
    <x v="6"/>
    <n v="2"/>
    <n v="1"/>
    <n v="0"/>
    <n v="1"/>
    <n v="0"/>
  </r>
  <r>
    <n v="46"/>
    <x v="1"/>
    <n v="0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x v="1"/>
    <n v="1"/>
    <n v="80"/>
    <x v="2"/>
    <n v="19"/>
    <x v="2"/>
    <n v="3"/>
    <n v="16"/>
    <n v="13"/>
    <n v="1"/>
    <n v="7"/>
  </r>
  <r>
    <n v="51"/>
    <x v="0"/>
    <n v="1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x v="0"/>
    <n v="3"/>
    <n v="80"/>
    <x v="2"/>
    <n v="18"/>
    <x v="2"/>
    <n v="4"/>
    <n v="10"/>
    <n v="0"/>
    <n v="2"/>
    <n v="7"/>
  </r>
  <r>
    <n v="28"/>
    <x v="0"/>
    <n v="1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x v="0"/>
    <n v="1"/>
    <n v="80"/>
    <x v="0"/>
    <n v="10"/>
    <x v="2"/>
    <n v="2"/>
    <n v="10"/>
    <n v="7"/>
    <n v="1"/>
    <n v="9"/>
  </r>
  <r>
    <n v="26"/>
    <x v="1"/>
    <n v="0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x v="0"/>
    <n v="1"/>
    <n v="80"/>
    <x v="3"/>
    <n v="6"/>
    <x v="2"/>
    <n v="3"/>
    <n v="5"/>
    <n v="3"/>
    <n v="1"/>
    <n v="3"/>
  </r>
  <r>
    <n v="30"/>
    <x v="1"/>
    <n v="0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x v="0"/>
    <n v="3"/>
    <n v="80"/>
    <x v="1"/>
    <n v="7"/>
    <x v="4"/>
    <n v="2"/>
    <n v="6"/>
    <n v="2"/>
    <n v="0"/>
    <n v="2"/>
  </r>
  <r>
    <n v="41"/>
    <x v="1"/>
    <n v="0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x v="0"/>
    <n v="3"/>
    <n v="80"/>
    <x v="0"/>
    <n v="10"/>
    <x v="1"/>
    <n v="3"/>
    <n v="10"/>
    <n v="6"/>
    <n v="0"/>
    <n v="8"/>
  </r>
  <r>
    <n v="38"/>
    <x v="1"/>
    <n v="0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x v="0"/>
    <n v="1"/>
    <n v="80"/>
    <x v="1"/>
    <n v="20"/>
    <x v="5"/>
    <n v="2"/>
    <n v="19"/>
    <n v="9"/>
    <n v="1"/>
    <n v="9"/>
  </r>
  <r>
    <n v="40"/>
    <x v="1"/>
    <n v="0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x v="1"/>
    <n v="4"/>
    <n v="80"/>
    <x v="1"/>
    <n v="14"/>
    <x v="6"/>
    <n v="3"/>
    <n v="11"/>
    <n v="10"/>
    <n v="11"/>
    <n v="1"/>
  </r>
  <r>
    <n v="27"/>
    <x v="1"/>
    <n v="0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x v="0"/>
    <n v="4"/>
    <n v="80"/>
    <x v="2"/>
    <n v="3"/>
    <x v="5"/>
    <n v="3"/>
    <n v="3"/>
    <n v="2"/>
    <n v="1"/>
    <n v="2"/>
  </r>
  <r>
    <n v="55"/>
    <x v="1"/>
    <n v="0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x v="0"/>
    <n v="2"/>
    <n v="80"/>
    <x v="1"/>
    <n v="23"/>
    <x v="5"/>
    <n v="3"/>
    <n v="3"/>
    <n v="2"/>
    <n v="1"/>
    <n v="2"/>
  </r>
  <r>
    <n v="28"/>
    <x v="1"/>
    <n v="0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x v="0"/>
    <n v="4"/>
    <n v="80"/>
    <x v="0"/>
    <n v="10"/>
    <x v="5"/>
    <n v="4"/>
    <n v="8"/>
    <n v="7"/>
    <n v="1"/>
    <n v="7"/>
  </r>
  <r>
    <n v="44"/>
    <x v="0"/>
    <n v="1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x v="0"/>
    <n v="4"/>
    <n v="80"/>
    <x v="1"/>
    <n v="24"/>
    <x v="4"/>
    <n v="3"/>
    <n v="20"/>
    <n v="6"/>
    <n v="3"/>
    <n v="6"/>
  </r>
  <r>
    <n v="33"/>
    <x v="1"/>
    <n v="0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x v="0"/>
    <n v="3"/>
    <n v="80"/>
    <x v="1"/>
    <n v="9"/>
    <x v="2"/>
    <n v="3"/>
    <n v="3"/>
    <n v="2"/>
    <n v="1"/>
    <n v="2"/>
  </r>
  <r>
    <n v="35"/>
    <x v="0"/>
    <n v="1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x v="1"/>
    <n v="1"/>
    <n v="80"/>
    <x v="0"/>
    <n v="9"/>
    <x v="2"/>
    <n v="3"/>
    <n v="8"/>
    <n v="7"/>
    <n v="4"/>
    <n v="7"/>
  </r>
  <r>
    <n v="33"/>
    <x v="0"/>
    <n v="1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x v="1"/>
    <n v="2"/>
    <n v="80"/>
    <x v="0"/>
    <n v="14"/>
    <x v="5"/>
    <n v="3"/>
    <n v="13"/>
    <n v="7"/>
    <n v="3"/>
    <n v="8"/>
  </r>
  <r>
    <n v="28"/>
    <x v="1"/>
    <n v="0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x v="0"/>
    <n v="4"/>
    <n v="80"/>
    <x v="1"/>
    <n v="4"/>
    <x v="3"/>
    <n v="2"/>
    <n v="4"/>
    <n v="2"/>
    <n v="2"/>
    <n v="2"/>
  </r>
  <r>
    <n v="34"/>
    <x v="1"/>
    <n v="0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x v="0"/>
    <n v="3"/>
    <n v="80"/>
    <x v="0"/>
    <n v="7"/>
    <x v="4"/>
    <n v="2"/>
    <n v="6"/>
    <n v="2"/>
    <n v="0"/>
    <n v="4"/>
  </r>
  <r>
    <n v="37"/>
    <x v="1"/>
    <n v="0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x v="0"/>
    <n v="3"/>
    <n v="80"/>
    <x v="2"/>
    <n v="8"/>
    <x v="3"/>
    <n v="3"/>
    <n v="1"/>
    <n v="0"/>
    <n v="0"/>
    <n v="0"/>
  </r>
  <r>
    <n v="25"/>
    <x v="0"/>
    <n v="1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x v="0"/>
    <n v="2"/>
    <n v="80"/>
    <x v="1"/>
    <n v="7"/>
    <x v="1"/>
    <n v="4"/>
    <n v="7"/>
    <n v="7"/>
    <n v="5"/>
    <n v="6"/>
  </r>
  <r>
    <n v="26"/>
    <x v="0"/>
    <n v="1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x v="1"/>
    <n v="3"/>
    <n v="80"/>
    <x v="1"/>
    <n v="1"/>
    <x v="0"/>
    <n v="2"/>
    <n v="1"/>
    <n v="1"/>
    <n v="0"/>
    <n v="0"/>
  </r>
  <r>
    <n v="33"/>
    <x v="0"/>
    <n v="1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x v="1"/>
    <n v="2"/>
    <n v="80"/>
    <x v="0"/>
    <n v="5"/>
    <x v="0"/>
    <n v="3"/>
    <n v="2"/>
    <n v="2"/>
    <n v="2"/>
    <n v="2"/>
  </r>
  <r>
    <n v="42"/>
    <x v="1"/>
    <n v="0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x v="0"/>
    <n v="4"/>
    <n v="80"/>
    <x v="1"/>
    <n v="23"/>
    <x v="1"/>
    <n v="3"/>
    <n v="22"/>
    <n v="6"/>
    <n v="13"/>
    <n v="7"/>
  </r>
  <r>
    <n v="28"/>
    <x v="0"/>
    <n v="1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x v="0"/>
    <n v="1"/>
    <n v="80"/>
    <x v="3"/>
    <n v="1"/>
    <x v="2"/>
    <n v="3"/>
    <n v="1"/>
    <n v="0"/>
    <n v="0"/>
    <n v="0"/>
  </r>
  <r>
    <n v="50"/>
    <x v="0"/>
    <n v="1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x v="0"/>
    <n v="4"/>
    <n v="80"/>
    <x v="0"/>
    <n v="5"/>
    <x v="5"/>
    <n v="3"/>
    <n v="0"/>
    <n v="0"/>
    <n v="0"/>
    <n v="0"/>
  </r>
  <r>
    <n v="33"/>
    <x v="1"/>
    <n v="0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x v="0"/>
    <n v="3"/>
    <n v="80"/>
    <x v="1"/>
    <n v="4"/>
    <x v="1"/>
    <n v="3"/>
    <n v="3"/>
    <n v="2"/>
    <n v="0"/>
    <n v="2"/>
  </r>
  <r>
    <n v="34"/>
    <x v="1"/>
    <n v="0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x v="0"/>
    <n v="4"/>
    <n v="80"/>
    <x v="2"/>
    <n v="6"/>
    <x v="2"/>
    <n v="3"/>
    <n v="0"/>
    <n v="0"/>
    <n v="0"/>
    <n v="0"/>
  </r>
  <r>
    <n v="48"/>
    <x v="1"/>
    <n v="0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x v="1"/>
    <n v="3"/>
    <n v="80"/>
    <x v="0"/>
    <n v="27"/>
    <x v="1"/>
    <n v="2"/>
    <n v="5"/>
    <n v="4"/>
    <n v="2"/>
    <n v="1"/>
  </r>
  <r>
    <n v="45"/>
    <x v="1"/>
    <n v="0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x v="0"/>
    <n v="4"/>
    <n v="80"/>
    <x v="1"/>
    <n v="15"/>
    <x v="2"/>
    <n v="3"/>
    <n v="15"/>
    <n v="10"/>
    <n v="4"/>
    <n v="12"/>
  </r>
  <r>
    <n v="52"/>
    <x v="1"/>
    <n v="0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x v="0"/>
    <n v="4"/>
    <n v="80"/>
    <x v="0"/>
    <n v="18"/>
    <x v="5"/>
    <n v="3"/>
    <n v="8"/>
    <n v="6"/>
    <n v="4"/>
    <n v="0"/>
  </r>
  <r>
    <n v="38"/>
    <x v="1"/>
    <n v="0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x v="0"/>
    <n v="2"/>
    <n v="80"/>
    <x v="3"/>
    <n v="9"/>
    <x v="2"/>
    <n v="3"/>
    <n v="8"/>
    <n v="7"/>
    <n v="2"/>
    <n v="7"/>
  </r>
  <r>
    <n v="29"/>
    <x v="1"/>
    <n v="0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x v="1"/>
    <n v="1"/>
    <n v="80"/>
    <x v="1"/>
    <n v="11"/>
    <x v="4"/>
    <n v="3"/>
    <n v="7"/>
    <n v="5"/>
    <n v="1"/>
    <n v="7"/>
  </r>
  <r>
    <n v="28"/>
    <x v="1"/>
    <n v="0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x v="0"/>
    <n v="2"/>
    <n v="80"/>
    <x v="2"/>
    <n v="10"/>
    <x v="1"/>
    <n v="2"/>
    <n v="9"/>
    <n v="7"/>
    <n v="1"/>
    <n v="7"/>
  </r>
  <r>
    <n v="46"/>
    <x v="1"/>
    <n v="0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x v="0"/>
    <n v="4"/>
    <n v="80"/>
    <x v="1"/>
    <n v="23"/>
    <x v="1"/>
    <n v="3"/>
    <n v="12"/>
    <n v="9"/>
    <n v="4"/>
    <n v="9"/>
  </r>
  <r>
    <n v="38"/>
    <x v="1"/>
    <n v="0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x v="0"/>
    <n v="3"/>
    <n v="80"/>
    <x v="0"/>
    <n v="10"/>
    <x v="2"/>
    <n v="3"/>
    <n v="1"/>
    <n v="0"/>
    <n v="0"/>
    <n v="0"/>
  </r>
  <r>
    <n v="43"/>
    <x v="1"/>
    <n v="0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x v="0"/>
    <n v="3"/>
    <n v="80"/>
    <x v="1"/>
    <n v="18"/>
    <x v="4"/>
    <n v="3"/>
    <n v="8"/>
    <n v="7"/>
    <n v="0"/>
    <n v="1"/>
  </r>
  <r>
    <n v="39"/>
    <x v="0"/>
    <n v="1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x v="0"/>
    <n v="4"/>
    <n v="80"/>
    <x v="2"/>
    <n v="21"/>
    <x v="5"/>
    <n v="3"/>
    <n v="18"/>
    <n v="7"/>
    <n v="11"/>
    <n v="5"/>
  </r>
  <r>
    <n v="40"/>
    <x v="1"/>
    <n v="0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x v="0"/>
    <n v="1"/>
    <n v="80"/>
    <x v="0"/>
    <n v="21"/>
    <x v="2"/>
    <n v="4"/>
    <n v="20"/>
    <n v="7"/>
    <n v="4"/>
    <n v="9"/>
  </r>
  <r>
    <n v="21"/>
    <x v="1"/>
    <n v="0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x v="0"/>
    <n v="3"/>
    <n v="80"/>
    <x v="0"/>
    <n v="2"/>
    <x v="6"/>
    <n v="4"/>
    <n v="2"/>
    <n v="2"/>
    <n v="2"/>
    <n v="2"/>
  </r>
  <r>
    <n v="39"/>
    <x v="1"/>
    <n v="0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x v="0"/>
    <n v="3"/>
    <n v="80"/>
    <x v="0"/>
    <n v="9"/>
    <x v="2"/>
    <n v="2"/>
    <n v="5"/>
    <n v="4"/>
    <n v="0"/>
    <n v="3"/>
  </r>
  <r>
    <n v="36"/>
    <x v="1"/>
    <n v="0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x v="1"/>
    <n v="1"/>
    <n v="80"/>
    <x v="0"/>
    <n v="18"/>
    <x v="0"/>
    <n v="3"/>
    <n v="11"/>
    <n v="9"/>
    <n v="0"/>
    <n v="9"/>
  </r>
  <r>
    <n v="31"/>
    <x v="1"/>
    <n v="0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x v="0"/>
    <n v="1"/>
    <n v="80"/>
    <x v="1"/>
    <n v="3"/>
    <x v="5"/>
    <n v="3"/>
    <n v="2"/>
    <n v="2"/>
    <n v="2"/>
    <n v="2"/>
  </r>
  <r>
    <n v="28"/>
    <x v="1"/>
    <n v="0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x v="0"/>
    <n v="1"/>
    <n v="80"/>
    <x v="0"/>
    <n v="6"/>
    <x v="2"/>
    <n v="1"/>
    <n v="5"/>
    <n v="3"/>
    <n v="0"/>
    <n v="4"/>
  </r>
  <r>
    <n v="35"/>
    <x v="1"/>
    <n v="0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x v="0"/>
    <n v="4"/>
    <n v="80"/>
    <x v="1"/>
    <n v="5"/>
    <x v="1"/>
    <n v="3"/>
    <n v="5"/>
    <n v="2"/>
    <n v="0"/>
    <n v="2"/>
  </r>
  <r>
    <n v="49"/>
    <x v="1"/>
    <n v="0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x v="0"/>
    <n v="2"/>
    <n v="80"/>
    <x v="1"/>
    <n v="22"/>
    <x v="1"/>
    <n v="3"/>
    <n v="9"/>
    <n v="8"/>
    <n v="2"/>
    <n v="3"/>
  </r>
  <r>
    <n v="34"/>
    <x v="1"/>
    <n v="0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x v="0"/>
    <n v="4"/>
    <n v="80"/>
    <x v="0"/>
    <n v="5"/>
    <x v="1"/>
    <n v="2"/>
    <n v="3"/>
    <n v="2"/>
    <n v="0"/>
    <n v="2"/>
  </r>
  <r>
    <n v="29"/>
    <x v="1"/>
    <n v="0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x v="0"/>
    <n v="4"/>
    <n v="80"/>
    <x v="3"/>
    <n v="8"/>
    <x v="2"/>
    <n v="2"/>
    <n v="7"/>
    <n v="5"/>
    <n v="1"/>
    <n v="1"/>
  </r>
  <r>
    <n v="42"/>
    <x v="1"/>
    <n v="0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x v="0"/>
    <n v="1"/>
    <n v="80"/>
    <x v="0"/>
    <n v="16"/>
    <x v="1"/>
    <n v="3"/>
    <n v="1"/>
    <n v="0"/>
    <n v="0"/>
    <n v="0"/>
  </r>
  <r>
    <n v="29"/>
    <x v="1"/>
    <n v="0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x v="0"/>
    <n v="3"/>
    <n v="80"/>
    <x v="1"/>
    <n v="10"/>
    <x v="2"/>
    <n v="2"/>
    <n v="10"/>
    <n v="7"/>
    <n v="1"/>
    <n v="2"/>
  </r>
  <r>
    <n v="38"/>
    <x v="1"/>
    <n v="0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x v="0"/>
    <n v="4"/>
    <n v="80"/>
    <x v="1"/>
    <n v="7"/>
    <x v="2"/>
    <n v="4"/>
    <n v="7"/>
    <n v="6"/>
    <n v="5"/>
    <n v="0"/>
  </r>
  <r>
    <n v="28"/>
    <x v="1"/>
    <n v="0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x v="0"/>
    <n v="4"/>
    <n v="80"/>
    <x v="1"/>
    <n v="3"/>
    <x v="2"/>
    <n v="3"/>
    <n v="3"/>
    <n v="1"/>
    <n v="0"/>
    <n v="2"/>
  </r>
  <r>
    <n v="18"/>
    <x v="0"/>
    <n v="1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x v="0"/>
    <n v="4"/>
    <n v="80"/>
    <x v="0"/>
    <n v="0"/>
    <x v="0"/>
    <n v="3"/>
    <n v="0"/>
    <n v="0"/>
    <n v="0"/>
    <n v="0"/>
  </r>
  <r>
    <n v="33"/>
    <x v="0"/>
    <n v="1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x v="0"/>
    <n v="1"/>
    <n v="80"/>
    <x v="0"/>
    <n v="6"/>
    <x v="1"/>
    <n v="3"/>
    <n v="5"/>
    <n v="2"/>
    <n v="0"/>
    <n v="3"/>
  </r>
  <r>
    <n v="41"/>
    <x v="1"/>
    <n v="0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x v="0"/>
    <n v="1"/>
    <n v="80"/>
    <x v="1"/>
    <n v="6"/>
    <x v="5"/>
    <n v="3"/>
    <n v="1"/>
    <n v="0"/>
    <n v="0"/>
    <n v="0"/>
  </r>
  <r>
    <n v="31"/>
    <x v="0"/>
    <n v="1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x v="0"/>
    <n v="3"/>
    <n v="80"/>
    <x v="1"/>
    <n v="2"/>
    <x v="3"/>
    <n v="2"/>
    <n v="2"/>
    <n v="2"/>
    <n v="2"/>
    <n v="2"/>
  </r>
  <r>
    <n v="37"/>
    <x v="1"/>
    <n v="0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x v="0"/>
    <n v="3"/>
    <n v="80"/>
    <x v="3"/>
    <n v="9"/>
    <x v="2"/>
    <n v="3"/>
    <n v="6"/>
    <n v="2"/>
    <n v="1"/>
    <n v="3"/>
  </r>
  <r>
    <n v="27"/>
    <x v="1"/>
    <n v="0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x v="0"/>
    <n v="3"/>
    <n v="80"/>
    <x v="1"/>
    <n v="4"/>
    <x v="0"/>
    <n v="3"/>
    <n v="4"/>
    <n v="2"/>
    <n v="2"/>
    <n v="2"/>
  </r>
  <r>
    <n v="34"/>
    <x v="1"/>
    <n v="0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x v="1"/>
    <n v="1"/>
    <n v="80"/>
    <x v="0"/>
    <n v="6"/>
    <x v="1"/>
    <n v="2"/>
    <n v="6"/>
    <n v="5"/>
    <n v="1"/>
    <n v="3"/>
  </r>
  <r>
    <n v="35"/>
    <x v="1"/>
    <n v="0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x v="0"/>
    <n v="2"/>
    <n v="80"/>
    <x v="0"/>
    <n v="6"/>
    <x v="2"/>
    <n v="1"/>
    <n v="5"/>
    <n v="4"/>
    <n v="1"/>
    <n v="4"/>
  </r>
  <r>
    <n v="29"/>
    <x v="0"/>
    <n v="1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x v="0"/>
    <n v="1"/>
    <n v="80"/>
    <x v="1"/>
    <n v="11"/>
    <x v="1"/>
    <n v="1"/>
    <n v="11"/>
    <n v="8"/>
    <n v="3"/>
    <n v="10"/>
  </r>
  <r>
    <n v="40"/>
    <x v="1"/>
    <n v="0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x v="0"/>
    <n v="3"/>
    <n v="80"/>
    <x v="0"/>
    <n v="20"/>
    <x v="1"/>
    <n v="2"/>
    <n v="18"/>
    <n v="7"/>
    <n v="2"/>
    <n v="13"/>
  </r>
  <r>
    <n v="42"/>
    <x v="0"/>
    <n v="1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x v="0"/>
    <n v="2"/>
    <n v="80"/>
    <x v="0"/>
    <n v="22"/>
    <x v="2"/>
    <n v="2"/>
    <n v="21"/>
    <n v="9"/>
    <n v="13"/>
    <n v="14"/>
  </r>
  <r>
    <n v="42"/>
    <x v="1"/>
    <n v="0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x v="0"/>
    <n v="4"/>
    <n v="80"/>
    <x v="0"/>
    <n v="9"/>
    <x v="1"/>
    <n v="4"/>
    <n v="6"/>
    <n v="4"/>
    <n v="1"/>
    <n v="5"/>
  </r>
  <r>
    <n v="35"/>
    <x v="1"/>
    <n v="0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x v="0"/>
    <n v="2"/>
    <n v="80"/>
    <x v="1"/>
    <n v="10"/>
    <x v="2"/>
    <n v="3"/>
    <n v="8"/>
    <n v="0"/>
    <n v="1"/>
    <n v="7"/>
  </r>
  <r>
    <n v="24"/>
    <x v="1"/>
    <n v="0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x v="1"/>
    <n v="4"/>
    <n v="80"/>
    <x v="0"/>
    <n v="6"/>
    <x v="2"/>
    <n v="3"/>
    <n v="4"/>
    <n v="3"/>
    <n v="1"/>
    <n v="2"/>
  </r>
  <r>
    <n v="28"/>
    <x v="0"/>
    <n v="1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x v="0"/>
    <n v="4"/>
    <n v="80"/>
    <x v="0"/>
    <n v="1"/>
    <x v="5"/>
    <n v="2"/>
    <n v="1"/>
    <n v="1"/>
    <n v="0"/>
    <n v="0"/>
  </r>
  <r>
    <n v="26"/>
    <x v="1"/>
    <n v="0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x v="1"/>
    <n v="2"/>
    <n v="80"/>
    <x v="1"/>
    <n v="8"/>
    <x v="2"/>
    <n v="3"/>
    <n v="8"/>
    <n v="7"/>
    <n v="0"/>
    <n v="7"/>
  </r>
  <r>
    <n v="30"/>
    <x v="1"/>
    <n v="0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x v="0"/>
    <n v="1"/>
    <n v="80"/>
    <x v="1"/>
    <n v="10"/>
    <x v="1"/>
    <n v="3"/>
    <n v="10"/>
    <n v="3"/>
    <n v="1"/>
    <n v="4"/>
  </r>
  <r>
    <n v="40"/>
    <x v="1"/>
    <n v="0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x v="0"/>
    <n v="4"/>
    <n v="80"/>
    <x v="1"/>
    <n v="16"/>
    <x v="1"/>
    <n v="1"/>
    <n v="1"/>
    <n v="1"/>
    <n v="0"/>
    <n v="0"/>
  </r>
  <r>
    <n v="35"/>
    <x v="1"/>
    <n v="0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x v="0"/>
    <n v="2"/>
    <n v="80"/>
    <x v="1"/>
    <n v="15"/>
    <x v="2"/>
    <n v="4"/>
    <n v="7"/>
    <n v="7"/>
    <n v="6"/>
    <n v="4"/>
  </r>
  <r>
    <n v="34"/>
    <x v="1"/>
    <n v="0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x v="1"/>
    <n v="3"/>
    <n v="80"/>
    <x v="0"/>
    <n v="14"/>
    <x v="1"/>
    <n v="3"/>
    <n v="13"/>
    <n v="9"/>
    <n v="4"/>
    <n v="9"/>
  </r>
  <r>
    <n v="35"/>
    <x v="1"/>
    <n v="0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x v="0"/>
    <n v="2"/>
    <n v="80"/>
    <x v="1"/>
    <n v="2"/>
    <x v="2"/>
    <n v="4"/>
    <n v="2"/>
    <n v="2"/>
    <n v="2"/>
    <n v="2"/>
  </r>
  <r>
    <n v="43"/>
    <x v="0"/>
    <n v="1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x v="0"/>
    <n v="2"/>
    <n v="80"/>
    <x v="0"/>
    <n v="7"/>
    <x v="2"/>
    <n v="2"/>
    <n v="4"/>
    <n v="3"/>
    <n v="1"/>
    <n v="3"/>
  </r>
  <r>
    <n v="32"/>
    <x v="1"/>
    <n v="0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x v="0"/>
    <n v="3"/>
    <n v="80"/>
    <x v="2"/>
    <n v="1"/>
    <x v="1"/>
    <n v="3"/>
    <n v="1"/>
    <n v="0"/>
    <n v="0"/>
    <n v="0"/>
  </r>
  <r>
    <n v="56"/>
    <x v="1"/>
    <n v="0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x v="0"/>
    <n v="4"/>
    <n v="80"/>
    <x v="1"/>
    <n v="28"/>
    <x v="2"/>
    <n v="3"/>
    <n v="5"/>
    <n v="2"/>
    <n v="4"/>
    <n v="2"/>
  </r>
  <r>
    <n v="29"/>
    <x v="1"/>
    <n v="0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x v="0"/>
    <n v="1"/>
    <n v="80"/>
    <x v="1"/>
    <n v="10"/>
    <x v="3"/>
    <n v="3"/>
    <n v="10"/>
    <n v="8"/>
    <n v="0"/>
    <n v="8"/>
  </r>
  <r>
    <n v="19"/>
    <x v="1"/>
    <n v="0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x v="1"/>
    <n v="3"/>
    <n v="80"/>
    <x v="0"/>
    <n v="1"/>
    <x v="5"/>
    <n v="3"/>
    <n v="1"/>
    <n v="1"/>
    <n v="0"/>
    <n v="0"/>
  </r>
  <r>
    <n v="45"/>
    <x v="1"/>
    <n v="0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x v="0"/>
    <n v="3"/>
    <n v="80"/>
    <x v="1"/>
    <n v="7"/>
    <x v="2"/>
    <n v="2"/>
    <n v="3"/>
    <n v="2"/>
    <n v="0"/>
    <n v="2"/>
  </r>
  <r>
    <n v="37"/>
    <x v="1"/>
    <n v="0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x v="0"/>
    <n v="2"/>
    <n v="80"/>
    <x v="1"/>
    <n v="14"/>
    <x v="2"/>
    <n v="2"/>
    <n v="14"/>
    <n v="8"/>
    <n v="3"/>
    <n v="11"/>
  </r>
  <r>
    <n v="20"/>
    <x v="1"/>
    <n v="0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x v="0"/>
    <n v="1"/>
    <n v="80"/>
    <x v="0"/>
    <n v="2"/>
    <x v="2"/>
    <n v="2"/>
    <n v="2"/>
    <n v="2"/>
    <n v="1"/>
    <n v="2"/>
  </r>
  <r>
    <n v="44"/>
    <x v="0"/>
    <n v="1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x v="0"/>
    <n v="3"/>
    <n v="80"/>
    <x v="0"/>
    <n v="6"/>
    <x v="5"/>
    <n v="3"/>
    <n v="6"/>
    <n v="4"/>
    <n v="0"/>
    <n v="2"/>
  </r>
  <r>
    <n v="53"/>
    <x v="1"/>
    <n v="0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x v="0"/>
    <n v="2"/>
    <n v="80"/>
    <x v="1"/>
    <n v="26"/>
    <x v="6"/>
    <n v="3"/>
    <n v="7"/>
    <n v="7"/>
    <n v="4"/>
    <n v="7"/>
  </r>
  <r>
    <n v="29"/>
    <x v="1"/>
    <n v="0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x v="0"/>
    <n v="1"/>
    <n v="80"/>
    <x v="1"/>
    <n v="6"/>
    <x v="2"/>
    <n v="2"/>
    <n v="5"/>
    <n v="4"/>
    <n v="1"/>
    <n v="3"/>
  </r>
  <r>
    <n v="22"/>
    <x v="0"/>
    <n v="1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x v="0"/>
    <n v="2"/>
    <n v="80"/>
    <x v="1"/>
    <n v="1"/>
    <x v="3"/>
    <n v="3"/>
    <n v="0"/>
    <n v="0"/>
    <n v="0"/>
    <n v="0"/>
  </r>
  <r>
    <n v="46"/>
    <x v="1"/>
    <n v="0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x v="1"/>
    <n v="1"/>
    <n v="80"/>
    <x v="0"/>
    <n v="28"/>
    <x v="2"/>
    <n v="3"/>
    <n v="26"/>
    <n v="15"/>
    <n v="15"/>
    <n v="9"/>
  </r>
  <r>
    <n v="44"/>
    <x v="1"/>
    <n v="0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x v="0"/>
    <n v="4"/>
    <n v="80"/>
    <x v="0"/>
    <n v="6"/>
    <x v="1"/>
    <n v="3"/>
    <n v="0"/>
    <n v="0"/>
    <n v="0"/>
    <n v="0"/>
  </r>
  <r>
    <n v="33"/>
    <x v="1"/>
    <n v="0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x v="0"/>
    <n v="4"/>
    <n v="80"/>
    <x v="1"/>
    <n v="5"/>
    <x v="2"/>
    <n v="3"/>
    <n v="5"/>
    <n v="4"/>
    <n v="1"/>
    <n v="4"/>
  </r>
  <r>
    <n v="41"/>
    <x v="0"/>
    <n v="1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x v="0"/>
    <n v="1"/>
    <n v="80"/>
    <x v="1"/>
    <n v="5"/>
    <x v="2"/>
    <n v="1"/>
    <n v="1"/>
    <n v="0"/>
    <n v="0"/>
    <n v="0"/>
  </r>
  <r>
    <n v="30"/>
    <x v="1"/>
    <n v="0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x v="0"/>
    <n v="3"/>
    <n v="80"/>
    <x v="2"/>
    <n v="8"/>
    <x v="1"/>
    <n v="3"/>
    <n v="4"/>
    <n v="3"/>
    <n v="0"/>
    <n v="3"/>
  </r>
  <r>
    <n v="40"/>
    <x v="1"/>
    <n v="0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x v="0"/>
    <n v="4"/>
    <n v="80"/>
    <x v="2"/>
    <n v="5"/>
    <x v="2"/>
    <n v="3"/>
    <n v="0"/>
    <n v="0"/>
    <n v="0"/>
    <n v="0"/>
  </r>
  <r>
    <n v="50"/>
    <x v="1"/>
    <n v="0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x v="1"/>
    <n v="3"/>
    <n v="80"/>
    <x v="1"/>
    <n v="32"/>
    <x v="1"/>
    <n v="3"/>
    <n v="2"/>
    <n v="2"/>
    <n v="2"/>
    <n v="2"/>
  </r>
  <r>
    <n v="28"/>
    <x v="1"/>
    <n v="0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x v="0"/>
    <n v="3"/>
    <n v="80"/>
    <x v="2"/>
    <n v="6"/>
    <x v="2"/>
    <n v="3"/>
    <n v="6"/>
    <n v="5"/>
    <n v="3"/>
    <n v="3"/>
  </r>
  <r>
    <n v="46"/>
    <x v="1"/>
    <n v="0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x v="0"/>
    <n v="1"/>
    <n v="80"/>
    <x v="1"/>
    <n v="25"/>
    <x v="2"/>
    <n v="3"/>
    <n v="4"/>
    <n v="2"/>
    <n v="0"/>
    <n v="3"/>
  </r>
  <r>
    <n v="35"/>
    <x v="1"/>
    <n v="0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x v="0"/>
    <n v="4"/>
    <n v="80"/>
    <x v="2"/>
    <n v="15"/>
    <x v="2"/>
    <n v="3"/>
    <n v="7"/>
    <n v="7"/>
    <n v="1"/>
    <n v="7"/>
  </r>
  <r>
    <n v="24"/>
    <x v="0"/>
    <n v="1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x v="0"/>
    <n v="1"/>
    <n v="80"/>
    <x v="1"/>
    <n v="1"/>
    <x v="1"/>
    <n v="1"/>
    <n v="1"/>
    <n v="0"/>
    <n v="0"/>
    <n v="0"/>
  </r>
  <r>
    <n v="33"/>
    <x v="1"/>
    <n v="0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x v="0"/>
    <n v="1"/>
    <n v="80"/>
    <x v="1"/>
    <n v="10"/>
    <x v="1"/>
    <n v="2"/>
    <n v="10"/>
    <n v="7"/>
    <n v="0"/>
    <n v="1"/>
  </r>
  <r>
    <n v="36"/>
    <x v="1"/>
    <n v="0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x v="0"/>
    <n v="3"/>
    <n v="80"/>
    <x v="1"/>
    <n v="7"/>
    <x v="5"/>
    <n v="3"/>
    <n v="7"/>
    <n v="7"/>
    <n v="1"/>
    <n v="7"/>
  </r>
  <r>
    <n v="30"/>
    <x v="1"/>
    <n v="0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x v="0"/>
    <n v="1"/>
    <n v="80"/>
    <x v="2"/>
    <n v="10"/>
    <x v="5"/>
    <n v="2"/>
    <n v="10"/>
    <n v="7"/>
    <n v="8"/>
    <n v="9"/>
  </r>
  <r>
    <n v="44"/>
    <x v="1"/>
    <n v="0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x v="1"/>
    <n v="2"/>
    <n v="80"/>
    <x v="0"/>
    <n v="20"/>
    <x v="1"/>
    <n v="3"/>
    <n v="20"/>
    <n v="11"/>
    <n v="13"/>
    <n v="17"/>
  </r>
  <r>
    <n v="20"/>
    <x v="1"/>
    <n v="0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x v="0"/>
    <n v="4"/>
    <n v="80"/>
    <x v="0"/>
    <n v="2"/>
    <x v="2"/>
    <n v="3"/>
    <n v="2"/>
    <n v="1"/>
    <n v="2"/>
    <n v="2"/>
  </r>
  <r>
    <n v="46"/>
    <x v="1"/>
    <n v="0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x v="0"/>
    <n v="3"/>
    <n v="80"/>
    <x v="1"/>
    <n v="12"/>
    <x v="1"/>
    <n v="2"/>
    <n v="6"/>
    <n v="3"/>
    <n v="1"/>
    <n v="4"/>
  </r>
  <r>
    <n v="42"/>
    <x v="1"/>
    <n v="0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x v="0"/>
    <n v="1"/>
    <n v="80"/>
    <x v="1"/>
    <n v="10"/>
    <x v="1"/>
    <n v="4"/>
    <n v="4"/>
    <n v="3"/>
    <n v="0"/>
    <n v="3"/>
  </r>
  <r>
    <n v="60"/>
    <x v="1"/>
    <n v="0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x v="0"/>
    <n v="2"/>
    <n v="80"/>
    <x v="1"/>
    <n v="12"/>
    <x v="1"/>
    <n v="3"/>
    <n v="11"/>
    <n v="7"/>
    <n v="1"/>
    <n v="9"/>
  </r>
  <r>
    <n v="32"/>
    <x v="1"/>
    <n v="0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x v="1"/>
    <n v="3"/>
    <n v="80"/>
    <x v="1"/>
    <n v="2"/>
    <x v="2"/>
    <n v="3"/>
    <n v="2"/>
    <n v="2"/>
    <n v="2"/>
    <n v="2"/>
  </r>
  <r>
    <n v="32"/>
    <x v="1"/>
    <n v="0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x v="0"/>
    <n v="4"/>
    <n v="80"/>
    <x v="0"/>
    <n v="10"/>
    <x v="2"/>
    <n v="3"/>
    <n v="8"/>
    <n v="7"/>
    <n v="0"/>
    <n v="7"/>
  </r>
  <r>
    <n v="36"/>
    <x v="1"/>
    <n v="0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x v="1"/>
    <n v="3"/>
    <n v="80"/>
    <x v="1"/>
    <n v="17"/>
    <x v="2"/>
    <n v="3"/>
    <n v="7"/>
    <n v="7"/>
    <n v="7"/>
    <n v="7"/>
  </r>
  <r>
    <n v="33"/>
    <x v="1"/>
    <n v="0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x v="0"/>
    <n v="2"/>
    <n v="80"/>
    <x v="1"/>
    <n v="15"/>
    <x v="3"/>
    <n v="3"/>
    <n v="14"/>
    <n v="10"/>
    <n v="4"/>
    <n v="10"/>
  </r>
  <r>
    <n v="40"/>
    <x v="1"/>
    <n v="0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x v="0"/>
    <n v="2"/>
    <n v="80"/>
    <x v="1"/>
    <n v="7"/>
    <x v="2"/>
    <n v="4"/>
    <n v="5"/>
    <n v="1"/>
    <n v="1"/>
    <n v="3"/>
  </r>
  <r>
    <n v="25"/>
    <x v="1"/>
    <n v="0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x v="0"/>
    <n v="2"/>
    <n v="80"/>
    <x v="0"/>
    <n v="5"/>
    <x v="5"/>
    <n v="3"/>
    <n v="4"/>
    <n v="3"/>
    <n v="1"/>
    <n v="1"/>
  </r>
  <r>
    <n v="30"/>
    <x v="1"/>
    <n v="0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x v="1"/>
    <n v="1"/>
    <n v="80"/>
    <x v="1"/>
    <n v="12"/>
    <x v="2"/>
    <n v="3"/>
    <n v="11"/>
    <n v="9"/>
    <n v="5"/>
    <n v="7"/>
  </r>
  <r>
    <n v="42"/>
    <x v="1"/>
    <n v="0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x v="0"/>
    <n v="3"/>
    <n v="80"/>
    <x v="0"/>
    <n v="20"/>
    <x v="6"/>
    <n v="3"/>
    <n v="1"/>
    <n v="0"/>
    <n v="0"/>
    <n v="0"/>
  </r>
  <r>
    <n v="35"/>
    <x v="1"/>
    <n v="0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x v="0"/>
    <n v="2"/>
    <n v="80"/>
    <x v="1"/>
    <n v="16"/>
    <x v="6"/>
    <n v="2"/>
    <n v="13"/>
    <n v="2"/>
    <n v="4"/>
    <n v="12"/>
  </r>
  <r>
    <n v="27"/>
    <x v="1"/>
    <n v="0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x v="0"/>
    <n v="4"/>
    <n v="80"/>
    <x v="3"/>
    <n v="9"/>
    <x v="1"/>
    <n v="2"/>
    <n v="9"/>
    <n v="7"/>
    <n v="6"/>
    <n v="8"/>
  </r>
  <r>
    <n v="54"/>
    <x v="1"/>
    <n v="0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x v="0"/>
    <n v="1"/>
    <n v="80"/>
    <x v="1"/>
    <n v="33"/>
    <x v="2"/>
    <n v="1"/>
    <n v="5"/>
    <n v="4"/>
    <n v="1"/>
    <n v="4"/>
  </r>
  <r>
    <n v="44"/>
    <x v="1"/>
    <n v="0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x v="0"/>
    <n v="4"/>
    <n v="80"/>
    <x v="1"/>
    <n v="10"/>
    <x v="3"/>
    <n v="3"/>
    <n v="10"/>
    <n v="5"/>
    <n v="7"/>
    <n v="7"/>
  </r>
  <r>
    <n v="19"/>
    <x v="0"/>
    <n v="1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x v="1"/>
    <n v="2"/>
    <n v="80"/>
    <x v="0"/>
    <n v="1"/>
    <x v="2"/>
    <n v="4"/>
    <n v="1"/>
    <n v="1"/>
    <n v="0"/>
    <n v="0"/>
  </r>
  <r>
    <n v="29"/>
    <x v="1"/>
    <n v="0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x v="0"/>
    <n v="1"/>
    <n v="80"/>
    <x v="2"/>
    <n v="3"/>
    <x v="3"/>
    <n v="3"/>
    <n v="3"/>
    <n v="2"/>
    <n v="1"/>
    <n v="2"/>
  </r>
  <r>
    <n v="54"/>
    <x v="1"/>
    <n v="0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x v="0"/>
    <n v="1"/>
    <n v="80"/>
    <x v="0"/>
    <n v="36"/>
    <x v="2"/>
    <n v="3"/>
    <n v="10"/>
    <n v="9"/>
    <n v="0"/>
    <n v="9"/>
  </r>
  <r>
    <n v="31"/>
    <x v="1"/>
    <n v="0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x v="0"/>
    <n v="4"/>
    <n v="80"/>
    <x v="0"/>
    <n v="6"/>
    <x v="2"/>
    <n v="2"/>
    <n v="6"/>
    <n v="5"/>
    <n v="0"/>
    <n v="1"/>
  </r>
  <r>
    <n v="31"/>
    <x v="1"/>
    <n v="0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x v="0"/>
    <n v="2"/>
    <n v="80"/>
    <x v="0"/>
    <n v="10"/>
    <x v="2"/>
    <n v="3"/>
    <n v="10"/>
    <n v="9"/>
    <n v="1"/>
    <n v="8"/>
  </r>
  <r>
    <n v="59"/>
    <x v="1"/>
    <n v="0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x v="0"/>
    <n v="4"/>
    <n v="80"/>
    <x v="0"/>
    <n v="13"/>
    <x v="2"/>
    <n v="3"/>
    <n v="6"/>
    <n v="1"/>
    <n v="0"/>
    <n v="5"/>
  </r>
  <r>
    <n v="43"/>
    <x v="1"/>
    <n v="0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x v="0"/>
    <n v="2"/>
    <n v="80"/>
    <x v="1"/>
    <n v="25"/>
    <x v="2"/>
    <n v="3"/>
    <n v="8"/>
    <n v="7"/>
    <n v="0"/>
    <n v="7"/>
  </r>
  <r>
    <n v="49"/>
    <x v="1"/>
    <n v="0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x v="0"/>
    <n v="3"/>
    <n v="80"/>
    <x v="1"/>
    <n v="23"/>
    <x v="2"/>
    <n v="4"/>
    <n v="1"/>
    <n v="0"/>
    <n v="0"/>
    <n v="0"/>
  </r>
  <r>
    <n v="36"/>
    <x v="1"/>
    <n v="0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x v="0"/>
    <n v="3"/>
    <n v="80"/>
    <x v="0"/>
    <n v="12"/>
    <x v="2"/>
    <n v="2"/>
    <n v="11"/>
    <n v="10"/>
    <n v="0"/>
    <n v="7"/>
  </r>
  <r>
    <n v="48"/>
    <x v="1"/>
    <n v="0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x v="0"/>
    <n v="3"/>
    <n v="80"/>
    <x v="0"/>
    <n v="7"/>
    <x v="5"/>
    <n v="2"/>
    <n v="1"/>
    <n v="0"/>
    <n v="0"/>
    <n v="0"/>
  </r>
  <r>
    <n v="27"/>
    <x v="1"/>
    <n v="0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x v="0"/>
    <n v="2"/>
    <n v="80"/>
    <x v="2"/>
    <n v="5"/>
    <x v="2"/>
    <n v="3"/>
    <n v="5"/>
    <n v="3"/>
    <n v="0"/>
    <n v="3"/>
  </r>
  <r>
    <n v="29"/>
    <x v="1"/>
    <n v="0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x v="0"/>
    <n v="2"/>
    <n v="80"/>
    <x v="3"/>
    <n v="6"/>
    <x v="2"/>
    <n v="3"/>
    <n v="6"/>
    <n v="0"/>
    <n v="1"/>
    <n v="0"/>
  </r>
  <r>
    <n v="48"/>
    <x v="1"/>
    <n v="0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x v="0"/>
    <n v="3"/>
    <n v="80"/>
    <x v="0"/>
    <n v="25"/>
    <x v="1"/>
    <n v="4"/>
    <n v="1"/>
    <n v="0"/>
    <n v="0"/>
    <n v="0"/>
  </r>
  <r>
    <n v="29"/>
    <x v="1"/>
    <n v="0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x v="0"/>
    <n v="2"/>
    <n v="80"/>
    <x v="3"/>
    <n v="9"/>
    <x v="2"/>
    <n v="2"/>
    <n v="7"/>
    <n v="7"/>
    <n v="1"/>
    <n v="7"/>
  </r>
  <r>
    <n v="34"/>
    <x v="1"/>
    <n v="0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x v="0"/>
    <n v="4"/>
    <n v="80"/>
    <x v="0"/>
    <n v="2"/>
    <x v="3"/>
    <n v="2"/>
    <n v="1"/>
    <n v="0"/>
    <n v="0"/>
    <n v="0"/>
  </r>
  <r>
    <n v="44"/>
    <x v="1"/>
    <n v="0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x v="0"/>
    <n v="3"/>
    <n v="80"/>
    <x v="1"/>
    <n v="26"/>
    <x v="3"/>
    <n v="3"/>
    <n v="22"/>
    <n v="9"/>
    <n v="3"/>
    <n v="10"/>
  </r>
  <r>
    <n v="33"/>
    <x v="1"/>
    <n v="0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x v="0"/>
    <n v="4"/>
    <n v="80"/>
    <x v="3"/>
    <n v="10"/>
    <x v="1"/>
    <n v="3"/>
    <n v="9"/>
    <n v="8"/>
    <n v="0"/>
    <n v="8"/>
  </r>
  <r>
    <n v="19"/>
    <x v="1"/>
    <n v="0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x v="0"/>
    <n v="4"/>
    <n v="80"/>
    <x v="0"/>
    <n v="1"/>
    <x v="2"/>
    <n v="3"/>
    <n v="1"/>
    <n v="0"/>
    <n v="0"/>
    <n v="1"/>
  </r>
  <r>
    <n v="23"/>
    <x v="1"/>
    <n v="0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x v="1"/>
    <n v="4"/>
    <n v="80"/>
    <x v="1"/>
    <n v="1"/>
    <x v="2"/>
    <n v="3"/>
    <n v="1"/>
    <n v="0"/>
    <n v="0"/>
    <n v="1"/>
  </r>
  <r>
    <n v="25"/>
    <x v="0"/>
    <n v="1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x v="0"/>
    <n v="4"/>
    <n v="80"/>
    <x v="0"/>
    <n v="1"/>
    <x v="5"/>
    <n v="3"/>
    <n v="1"/>
    <n v="0"/>
    <n v="1"/>
    <n v="0"/>
  </r>
  <r>
    <n v="26"/>
    <x v="1"/>
    <n v="0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x v="1"/>
    <n v="2"/>
    <n v="80"/>
    <x v="0"/>
    <n v="8"/>
    <x v="2"/>
    <n v="2"/>
    <n v="8"/>
    <n v="5"/>
    <n v="2"/>
    <n v="2"/>
  </r>
  <r>
    <n v="45"/>
    <x v="0"/>
    <n v="1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x v="0"/>
    <n v="1"/>
    <n v="80"/>
    <x v="0"/>
    <n v="26"/>
    <x v="2"/>
    <n v="3"/>
    <n v="24"/>
    <n v="10"/>
    <n v="1"/>
    <n v="11"/>
  </r>
  <r>
    <n v="55"/>
    <x v="1"/>
    <n v="0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x v="0"/>
    <n v="4"/>
    <n v="80"/>
    <x v="1"/>
    <n v="34"/>
    <x v="1"/>
    <n v="3"/>
    <n v="33"/>
    <n v="9"/>
    <n v="15"/>
    <n v="0"/>
  </r>
  <r>
    <n v="21"/>
    <x v="0"/>
    <n v="1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x v="1"/>
    <n v="3"/>
    <n v="80"/>
    <x v="0"/>
    <n v="2"/>
    <x v="2"/>
    <n v="1"/>
    <n v="2"/>
    <n v="2"/>
    <n v="2"/>
    <n v="2"/>
  </r>
  <r>
    <n v="46"/>
    <x v="1"/>
    <n v="0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x v="0"/>
    <n v="3"/>
    <n v="80"/>
    <x v="1"/>
    <n v="26"/>
    <x v="2"/>
    <n v="3"/>
    <n v="11"/>
    <n v="4"/>
    <n v="0"/>
    <n v="8"/>
  </r>
  <r>
    <n v="34"/>
    <x v="1"/>
    <n v="0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x v="0"/>
    <n v="4"/>
    <n v="80"/>
    <x v="0"/>
    <n v="4"/>
    <x v="1"/>
    <n v="3"/>
    <n v="3"/>
    <n v="2"/>
    <n v="0"/>
    <n v="2"/>
  </r>
  <r>
    <n v="51"/>
    <x v="1"/>
    <n v="0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x v="1"/>
    <n v="1"/>
    <n v="80"/>
    <x v="1"/>
    <n v="31"/>
    <x v="3"/>
    <n v="2"/>
    <n v="29"/>
    <n v="10"/>
    <n v="11"/>
    <n v="10"/>
  </r>
  <r>
    <n v="59"/>
    <x v="1"/>
    <n v="0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x v="0"/>
    <n v="4"/>
    <n v="80"/>
    <x v="0"/>
    <n v="25"/>
    <x v="6"/>
    <n v="2"/>
    <n v="9"/>
    <n v="7"/>
    <n v="5"/>
    <n v="4"/>
  </r>
  <r>
    <n v="34"/>
    <x v="1"/>
    <n v="0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x v="0"/>
    <n v="3"/>
    <n v="80"/>
    <x v="3"/>
    <n v="15"/>
    <x v="2"/>
    <n v="4"/>
    <n v="11"/>
    <n v="8"/>
    <n v="5"/>
    <n v="10"/>
  </r>
  <r>
    <n v="28"/>
    <x v="1"/>
    <n v="0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x v="0"/>
    <n v="3"/>
    <n v="80"/>
    <x v="0"/>
    <n v="5"/>
    <x v="2"/>
    <n v="2"/>
    <n v="4"/>
    <n v="2"/>
    <n v="0"/>
    <n v="2"/>
  </r>
  <r>
    <n v="44"/>
    <x v="1"/>
    <n v="0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x v="0"/>
    <n v="4"/>
    <n v="80"/>
    <x v="3"/>
    <n v="26"/>
    <x v="5"/>
    <n v="2"/>
    <n v="25"/>
    <n v="9"/>
    <n v="14"/>
    <n v="13"/>
  </r>
  <r>
    <n v="34"/>
    <x v="1"/>
    <n v="0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x v="0"/>
    <n v="4"/>
    <n v="80"/>
    <x v="3"/>
    <n v="14"/>
    <x v="3"/>
    <n v="4"/>
    <n v="10"/>
    <n v="9"/>
    <n v="1"/>
    <n v="8"/>
  </r>
  <r>
    <n v="35"/>
    <x v="1"/>
    <n v="0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x v="0"/>
    <n v="4"/>
    <n v="80"/>
    <x v="0"/>
    <n v="4"/>
    <x v="1"/>
    <n v="3"/>
    <n v="3"/>
    <n v="2"/>
    <n v="2"/>
    <n v="2"/>
  </r>
  <r>
    <n v="42"/>
    <x v="1"/>
    <n v="0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x v="0"/>
    <n v="4"/>
    <n v="80"/>
    <x v="0"/>
    <n v="18"/>
    <x v="2"/>
    <n v="3"/>
    <n v="1"/>
    <n v="0"/>
    <n v="0"/>
    <n v="0"/>
  </r>
  <r>
    <n v="43"/>
    <x v="1"/>
    <n v="0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x v="0"/>
    <n v="4"/>
    <n v="80"/>
    <x v="0"/>
    <n v="23"/>
    <x v="1"/>
    <n v="4"/>
    <n v="21"/>
    <n v="7"/>
    <n v="15"/>
    <n v="17"/>
  </r>
  <r>
    <n v="36"/>
    <x v="1"/>
    <n v="0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x v="0"/>
    <n v="4"/>
    <n v="80"/>
    <x v="0"/>
    <n v="18"/>
    <x v="2"/>
    <n v="3"/>
    <n v="16"/>
    <n v="14"/>
    <n v="5"/>
    <n v="12"/>
  </r>
  <r>
    <n v="44"/>
    <x v="0"/>
    <n v="1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x v="0"/>
    <n v="4"/>
    <n v="80"/>
    <x v="1"/>
    <n v="10"/>
    <x v="2"/>
    <n v="3"/>
    <n v="10"/>
    <n v="7"/>
    <n v="0"/>
    <n v="5"/>
  </r>
  <r>
    <n v="28"/>
    <x v="1"/>
    <n v="0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x v="0"/>
    <n v="2"/>
    <n v="80"/>
    <x v="1"/>
    <n v="2"/>
    <x v="2"/>
    <n v="3"/>
    <n v="2"/>
    <n v="2"/>
    <n v="2"/>
    <n v="2"/>
  </r>
  <r>
    <n v="51"/>
    <x v="1"/>
    <n v="0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x v="0"/>
    <n v="2"/>
    <n v="80"/>
    <x v="0"/>
    <n v="8"/>
    <x v="6"/>
    <n v="2"/>
    <n v="7"/>
    <n v="0"/>
    <n v="7"/>
    <n v="7"/>
  </r>
  <r>
    <n v="30"/>
    <x v="1"/>
    <n v="0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x v="0"/>
    <n v="3"/>
    <n v="80"/>
    <x v="0"/>
    <n v="10"/>
    <x v="1"/>
    <n v="3"/>
    <n v="8"/>
    <n v="4"/>
    <n v="1"/>
    <n v="7"/>
  </r>
  <r>
    <n v="29"/>
    <x v="0"/>
    <n v="1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x v="0"/>
    <n v="1"/>
    <n v="80"/>
    <x v="3"/>
    <n v="10"/>
    <x v="2"/>
    <n v="3"/>
    <n v="7"/>
    <n v="7"/>
    <n v="7"/>
    <n v="7"/>
  </r>
  <r>
    <n v="28"/>
    <x v="1"/>
    <n v="0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x v="0"/>
    <n v="2"/>
    <n v="80"/>
    <x v="0"/>
    <n v="5"/>
    <x v="2"/>
    <n v="2"/>
    <n v="3"/>
    <n v="2"/>
    <n v="1"/>
    <n v="2"/>
  </r>
  <r>
    <n v="25"/>
    <x v="1"/>
    <n v="0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x v="0"/>
    <n v="4"/>
    <n v="80"/>
    <x v="0"/>
    <n v="2"/>
    <x v="1"/>
    <n v="2"/>
    <n v="2"/>
    <n v="2"/>
    <n v="2"/>
    <n v="1"/>
  </r>
  <r>
    <n v="32"/>
    <x v="1"/>
    <n v="0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x v="0"/>
    <n v="3"/>
    <n v="80"/>
    <x v="3"/>
    <n v="10"/>
    <x v="5"/>
    <n v="4"/>
    <n v="10"/>
    <n v="7"/>
    <n v="0"/>
    <n v="8"/>
  </r>
  <r>
    <n v="45"/>
    <x v="1"/>
    <n v="0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x v="1"/>
    <n v="3"/>
    <n v="80"/>
    <x v="0"/>
    <n v="22"/>
    <x v="5"/>
    <n v="3"/>
    <n v="0"/>
    <n v="0"/>
    <n v="0"/>
    <n v="0"/>
  </r>
  <r>
    <n v="39"/>
    <x v="1"/>
    <n v="0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x v="0"/>
    <n v="4"/>
    <n v="80"/>
    <x v="3"/>
    <n v="21"/>
    <x v="5"/>
    <n v="3"/>
    <n v="19"/>
    <n v="9"/>
    <n v="15"/>
    <n v="2"/>
  </r>
  <r>
    <n v="58"/>
    <x v="1"/>
    <n v="0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x v="0"/>
    <n v="4"/>
    <n v="80"/>
    <x v="3"/>
    <n v="2"/>
    <x v="1"/>
    <n v="3"/>
    <n v="2"/>
    <n v="2"/>
    <n v="2"/>
    <n v="2"/>
  </r>
  <r>
    <n v="32"/>
    <x v="0"/>
    <n v="1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x v="0"/>
    <n v="1"/>
    <n v="80"/>
    <x v="1"/>
    <n v="10"/>
    <x v="1"/>
    <n v="3"/>
    <n v="10"/>
    <n v="4"/>
    <n v="1"/>
    <n v="1"/>
  </r>
  <r>
    <n v="39"/>
    <x v="0"/>
    <n v="1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x v="0"/>
    <n v="1"/>
    <n v="80"/>
    <x v="0"/>
    <n v="6"/>
    <x v="2"/>
    <n v="3"/>
    <n v="5"/>
    <n v="2"/>
    <n v="0"/>
    <n v="3"/>
  </r>
  <r>
    <n v="30"/>
    <x v="1"/>
    <n v="0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x v="0"/>
    <n v="1"/>
    <n v="80"/>
    <x v="1"/>
    <n v="10"/>
    <x v="6"/>
    <n v="3"/>
    <n v="9"/>
    <n v="2"/>
    <n v="6"/>
    <n v="7"/>
  </r>
  <r>
    <n v="36"/>
    <x v="1"/>
    <n v="0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x v="0"/>
    <n v="1"/>
    <n v="80"/>
    <x v="0"/>
    <n v="10"/>
    <x v="0"/>
    <n v="3"/>
    <n v="7"/>
    <n v="7"/>
    <n v="1"/>
    <n v="7"/>
  </r>
  <r>
    <n v="46"/>
    <x v="1"/>
    <n v="0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x v="0"/>
    <n v="3"/>
    <n v="80"/>
    <x v="0"/>
    <n v="10"/>
    <x v="1"/>
    <n v="4"/>
    <n v="7"/>
    <n v="6"/>
    <n v="5"/>
    <n v="7"/>
  </r>
  <r>
    <n v="28"/>
    <x v="1"/>
    <n v="0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x v="0"/>
    <n v="1"/>
    <n v="80"/>
    <x v="2"/>
    <n v="10"/>
    <x v="6"/>
    <n v="3"/>
    <n v="9"/>
    <n v="8"/>
    <n v="7"/>
    <n v="5"/>
  </r>
  <r>
    <n v="50"/>
    <x v="1"/>
    <n v="0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x v="0"/>
    <n v="2"/>
    <n v="80"/>
    <x v="0"/>
    <n v="25"/>
    <x v="2"/>
    <n v="3"/>
    <n v="3"/>
    <n v="2"/>
    <n v="1"/>
    <n v="2"/>
  </r>
  <r>
    <n v="40"/>
    <x v="0"/>
    <n v="1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x v="0"/>
    <n v="3"/>
    <n v="80"/>
    <x v="0"/>
    <n v="9"/>
    <x v="2"/>
    <n v="3"/>
    <n v="5"/>
    <n v="4"/>
    <n v="1"/>
    <n v="0"/>
  </r>
  <r>
    <n v="52"/>
    <x v="0"/>
    <n v="1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x v="0"/>
    <n v="3"/>
    <n v="80"/>
    <x v="0"/>
    <n v="10"/>
    <x v="2"/>
    <n v="2"/>
    <n v="8"/>
    <n v="7"/>
    <n v="7"/>
    <n v="7"/>
  </r>
  <r>
    <n v="30"/>
    <x v="1"/>
    <n v="0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x v="1"/>
    <n v="4"/>
    <n v="80"/>
    <x v="3"/>
    <n v="9"/>
    <x v="2"/>
    <n v="3"/>
    <n v="9"/>
    <n v="1"/>
    <n v="0"/>
    <n v="8"/>
  </r>
  <r>
    <n v="39"/>
    <x v="1"/>
    <n v="0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x v="0"/>
    <n v="1"/>
    <n v="80"/>
    <x v="0"/>
    <n v="9"/>
    <x v="6"/>
    <n v="3"/>
    <n v="8"/>
    <n v="7"/>
    <n v="1"/>
    <n v="7"/>
  </r>
  <r>
    <n v="31"/>
    <x v="1"/>
    <n v="0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x v="0"/>
    <n v="1"/>
    <n v="80"/>
    <x v="1"/>
    <n v="10"/>
    <x v="3"/>
    <n v="2"/>
    <n v="10"/>
    <n v="8"/>
    <n v="9"/>
    <n v="6"/>
  </r>
  <r>
    <n v="41"/>
    <x v="1"/>
    <n v="0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x v="0"/>
    <n v="1"/>
    <n v="80"/>
    <x v="0"/>
    <n v="19"/>
    <x v="5"/>
    <n v="3"/>
    <n v="19"/>
    <n v="2"/>
    <n v="11"/>
    <n v="9"/>
  </r>
  <r>
    <n v="31"/>
    <x v="0"/>
    <n v="1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x v="0"/>
    <n v="1"/>
    <n v="80"/>
    <x v="0"/>
    <n v="3"/>
    <x v="2"/>
    <n v="4"/>
    <n v="3"/>
    <n v="2"/>
    <n v="2"/>
    <n v="2"/>
  </r>
  <r>
    <n v="44"/>
    <x v="0"/>
    <n v="1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x v="0"/>
    <n v="3"/>
    <n v="80"/>
    <x v="0"/>
    <n v="10"/>
    <x v="5"/>
    <n v="4"/>
    <n v="3"/>
    <n v="2"/>
    <n v="1"/>
    <n v="2"/>
  </r>
  <r>
    <n v="42"/>
    <x v="1"/>
    <n v="0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x v="0"/>
    <n v="4"/>
    <n v="80"/>
    <x v="0"/>
    <n v="21"/>
    <x v="1"/>
    <n v="2"/>
    <n v="20"/>
    <n v="8"/>
    <n v="2"/>
    <n v="10"/>
  </r>
  <r>
    <n v="55"/>
    <x v="1"/>
    <n v="0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x v="0"/>
    <n v="4"/>
    <n v="80"/>
    <x v="1"/>
    <n v="23"/>
    <x v="3"/>
    <n v="3"/>
    <n v="19"/>
    <n v="9"/>
    <n v="9"/>
    <n v="11"/>
  </r>
  <r>
    <n v="56"/>
    <x v="1"/>
    <n v="0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x v="0"/>
    <n v="1"/>
    <n v="80"/>
    <x v="0"/>
    <n v="36"/>
    <x v="5"/>
    <n v="3"/>
    <n v="7"/>
    <n v="3"/>
    <n v="7"/>
    <n v="7"/>
  </r>
  <r>
    <n v="40"/>
    <x v="1"/>
    <n v="0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x v="0"/>
    <n v="2"/>
    <n v="80"/>
    <x v="1"/>
    <n v="6"/>
    <x v="0"/>
    <n v="3"/>
    <n v="4"/>
    <n v="2"/>
    <n v="0"/>
    <n v="0"/>
  </r>
  <r>
    <n v="34"/>
    <x v="1"/>
    <n v="0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x v="0"/>
    <n v="4"/>
    <n v="80"/>
    <x v="1"/>
    <n v="10"/>
    <x v="0"/>
    <n v="2"/>
    <n v="9"/>
    <n v="7"/>
    <n v="1"/>
    <n v="6"/>
  </r>
  <r>
    <n v="40"/>
    <x v="1"/>
    <n v="0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x v="0"/>
    <n v="3"/>
    <n v="80"/>
    <x v="0"/>
    <n v="9"/>
    <x v="5"/>
    <n v="3"/>
    <n v="9"/>
    <n v="8"/>
    <n v="8"/>
    <n v="8"/>
  </r>
  <r>
    <n v="41"/>
    <x v="1"/>
    <n v="0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x v="0"/>
    <n v="4"/>
    <n v="80"/>
    <x v="1"/>
    <n v="10"/>
    <x v="2"/>
    <n v="3"/>
    <n v="9"/>
    <n v="3"/>
    <n v="1"/>
    <n v="7"/>
  </r>
  <r>
    <n v="35"/>
    <x v="1"/>
    <n v="0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x v="0"/>
    <n v="2"/>
    <n v="80"/>
    <x v="0"/>
    <n v="9"/>
    <x v="1"/>
    <n v="3"/>
    <n v="9"/>
    <n v="6"/>
    <n v="1"/>
    <n v="1"/>
  </r>
  <r>
    <n v="51"/>
    <x v="1"/>
    <n v="0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x v="0"/>
    <n v="2"/>
    <n v="80"/>
    <x v="1"/>
    <n v="33"/>
    <x v="2"/>
    <n v="3"/>
    <n v="33"/>
    <n v="9"/>
    <n v="0"/>
    <n v="10"/>
  </r>
  <r>
    <n v="38"/>
    <x v="1"/>
    <n v="0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x v="0"/>
    <n v="4"/>
    <n v="80"/>
    <x v="1"/>
    <n v="11"/>
    <x v="1"/>
    <n v="3"/>
    <n v="7"/>
    <n v="7"/>
    <n v="1"/>
    <n v="7"/>
  </r>
  <r>
    <n v="34"/>
    <x v="1"/>
    <n v="0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x v="0"/>
    <n v="4"/>
    <n v="80"/>
    <x v="0"/>
    <n v="10"/>
    <x v="6"/>
    <n v="4"/>
    <n v="10"/>
    <n v="8"/>
    <n v="9"/>
    <n v="6"/>
  </r>
  <r>
    <n v="25"/>
    <x v="1"/>
    <n v="0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x v="0"/>
    <n v="3"/>
    <n v="80"/>
    <x v="2"/>
    <n v="7"/>
    <x v="6"/>
    <n v="2"/>
    <n v="3"/>
    <n v="2"/>
    <n v="1"/>
    <n v="2"/>
  </r>
  <r>
    <n v="58"/>
    <x v="0"/>
    <n v="1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x v="0"/>
    <n v="4"/>
    <n v="80"/>
    <x v="0"/>
    <n v="31"/>
    <x v="0"/>
    <n v="2"/>
    <n v="10"/>
    <n v="9"/>
    <n v="5"/>
    <n v="9"/>
  </r>
  <r>
    <n v="40"/>
    <x v="1"/>
    <n v="0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x v="1"/>
    <n v="3"/>
    <n v="80"/>
    <x v="1"/>
    <n v="7"/>
    <x v="1"/>
    <n v="3"/>
    <n v="4"/>
    <n v="2"/>
    <n v="0"/>
    <n v="3"/>
  </r>
  <r>
    <n v="36"/>
    <x v="1"/>
    <n v="0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x v="0"/>
    <n v="4"/>
    <n v="80"/>
    <x v="1"/>
    <n v="17"/>
    <x v="2"/>
    <n v="2"/>
    <n v="15"/>
    <n v="7"/>
    <n v="6"/>
    <n v="13"/>
  </r>
  <r>
    <n v="48"/>
    <x v="1"/>
    <n v="0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x v="0"/>
    <n v="3"/>
    <n v="80"/>
    <x v="0"/>
    <n v="11"/>
    <x v="2"/>
    <n v="3"/>
    <n v="10"/>
    <n v="9"/>
    <n v="0"/>
    <n v="8"/>
  </r>
  <r>
    <n v="27"/>
    <x v="1"/>
    <n v="0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x v="0"/>
    <n v="2"/>
    <n v="80"/>
    <x v="1"/>
    <n v="5"/>
    <x v="5"/>
    <n v="3"/>
    <n v="1"/>
    <n v="0"/>
    <n v="0"/>
    <n v="0"/>
  </r>
  <r>
    <n v="51"/>
    <x v="1"/>
    <n v="0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x v="0"/>
    <n v="2"/>
    <n v="80"/>
    <x v="0"/>
    <n v="29"/>
    <x v="4"/>
    <n v="2"/>
    <n v="5"/>
    <n v="2"/>
    <n v="0"/>
    <n v="3"/>
  </r>
  <r>
    <n v="18"/>
    <x v="1"/>
    <n v="0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x v="0"/>
    <n v="3"/>
    <n v="80"/>
    <x v="0"/>
    <n v="0"/>
    <x v="3"/>
    <n v="4"/>
    <n v="0"/>
    <n v="0"/>
    <n v="0"/>
    <n v="0"/>
  </r>
  <r>
    <n v="35"/>
    <x v="1"/>
    <n v="0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x v="0"/>
    <n v="2"/>
    <n v="80"/>
    <x v="1"/>
    <n v="10"/>
    <x v="0"/>
    <n v="3"/>
    <n v="9"/>
    <n v="7"/>
    <n v="0"/>
    <n v="0"/>
  </r>
  <r>
    <n v="27"/>
    <x v="1"/>
    <n v="0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x v="1"/>
    <n v="2"/>
    <n v="80"/>
    <x v="0"/>
    <n v="8"/>
    <x v="1"/>
    <n v="3"/>
    <n v="6"/>
    <n v="2"/>
    <n v="0"/>
    <n v="0"/>
  </r>
  <r>
    <n v="55"/>
    <x v="0"/>
    <n v="1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x v="0"/>
    <n v="3"/>
    <n v="80"/>
    <x v="0"/>
    <n v="24"/>
    <x v="2"/>
    <n v="2"/>
    <n v="19"/>
    <n v="7"/>
    <n v="3"/>
    <n v="8"/>
  </r>
  <r>
    <n v="56"/>
    <x v="1"/>
    <n v="0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x v="0"/>
    <n v="1"/>
    <n v="80"/>
    <x v="1"/>
    <n v="33"/>
    <x v="0"/>
    <n v="3"/>
    <n v="19"/>
    <n v="16"/>
    <n v="15"/>
    <n v="9"/>
  </r>
  <r>
    <n v="34"/>
    <x v="1"/>
    <n v="0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x v="1"/>
    <n v="3"/>
    <n v="80"/>
    <x v="2"/>
    <n v="5"/>
    <x v="2"/>
    <n v="3"/>
    <n v="5"/>
    <n v="4"/>
    <n v="0"/>
    <n v="0"/>
  </r>
  <r>
    <n v="40"/>
    <x v="1"/>
    <n v="0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x v="1"/>
    <n v="2"/>
    <n v="80"/>
    <x v="2"/>
    <n v="15"/>
    <x v="0"/>
    <n v="3"/>
    <n v="12"/>
    <n v="11"/>
    <n v="11"/>
    <n v="8"/>
  </r>
  <r>
    <n v="34"/>
    <x v="1"/>
    <n v="0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x v="0"/>
    <n v="1"/>
    <n v="80"/>
    <x v="3"/>
    <n v="10"/>
    <x v="4"/>
    <n v="3"/>
    <n v="8"/>
    <n v="7"/>
    <n v="7"/>
    <n v="7"/>
  </r>
  <r>
    <n v="31"/>
    <x v="0"/>
    <n v="1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x v="0"/>
    <n v="3"/>
    <n v="80"/>
    <x v="0"/>
    <n v="3"/>
    <x v="1"/>
    <n v="4"/>
    <n v="1"/>
    <n v="0"/>
    <n v="0"/>
    <n v="0"/>
  </r>
  <r>
    <n v="35"/>
    <x v="0"/>
    <n v="1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x v="0"/>
    <n v="3"/>
    <n v="80"/>
    <x v="1"/>
    <n v="5"/>
    <x v="0"/>
    <n v="2"/>
    <n v="4"/>
    <n v="2"/>
    <n v="3"/>
    <n v="2"/>
  </r>
  <r>
    <n v="38"/>
    <x v="1"/>
    <n v="0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x v="0"/>
    <n v="4"/>
    <n v="80"/>
    <x v="2"/>
    <n v="4"/>
    <x v="2"/>
    <n v="3"/>
    <n v="4"/>
    <n v="2"/>
    <n v="0"/>
    <n v="3"/>
  </r>
  <r>
    <n v="34"/>
    <x v="1"/>
    <n v="0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x v="0"/>
    <n v="4"/>
    <n v="80"/>
    <x v="0"/>
    <n v="14"/>
    <x v="2"/>
    <n v="4"/>
    <n v="14"/>
    <n v="11"/>
    <n v="4"/>
    <n v="11"/>
  </r>
  <r>
    <n v="28"/>
    <x v="1"/>
    <n v="0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x v="0"/>
    <n v="3"/>
    <n v="80"/>
    <x v="1"/>
    <n v="5"/>
    <x v="0"/>
    <n v="3"/>
    <n v="5"/>
    <n v="3"/>
    <n v="0"/>
    <n v="4"/>
  </r>
  <r>
    <n v="31"/>
    <x v="0"/>
    <n v="1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x v="0"/>
    <n v="4"/>
    <n v="80"/>
    <x v="3"/>
    <n v="10"/>
    <x v="1"/>
    <n v="2"/>
    <n v="10"/>
    <n v="2"/>
    <n v="6"/>
    <n v="7"/>
  </r>
  <r>
    <n v="39"/>
    <x v="1"/>
    <n v="0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x v="0"/>
    <n v="4"/>
    <n v="80"/>
    <x v="3"/>
    <n v="8"/>
    <x v="2"/>
    <n v="4"/>
    <n v="5"/>
    <n v="4"/>
    <n v="1"/>
    <n v="4"/>
  </r>
  <r>
    <n v="51"/>
    <x v="1"/>
    <n v="0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x v="0"/>
    <n v="2"/>
    <n v="80"/>
    <x v="0"/>
    <n v="14"/>
    <x v="3"/>
    <n v="3"/>
    <n v="4"/>
    <n v="2"/>
    <n v="3"/>
    <n v="2"/>
  </r>
  <r>
    <n v="41"/>
    <x v="1"/>
    <n v="0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x v="0"/>
    <n v="1"/>
    <n v="80"/>
    <x v="3"/>
    <n v="12"/>
    <x v="5"/>
    <n v="2"/>
    <n v="6"/>
    <n v="2"/>
    <n v="3"/>
    <n v="3"/>
  </r>
  <r>
    <n v="37"/>
    <x v="1"/>
    <n v="0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x v="0"/>
    <n v="4"/>
    <n v="80"/>
    <x v="0"/>
    <n v="8"/>
    <x v="2"/>
    <n v="3"/>
    <n v="6"/>
    <n v="4"/>
    <n v="1"/>
    <n v="3"/>
  </r>
  <r>
    <n v="33"/>
    <x v="1"/>
    <n v="0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x v="0"/>
    <n v="1"/>
    <n v="80"/>
    <x v="0"/>
    <n v="8"/>
    <x v="2"/>
    <n v="4"/>
    <n v="5"/>
    <n v="4"/>
    <n v="1"/>
    <n v="2"/>
  </r>
  <r>
    <n v="32"/>
    <x v="1"/>
    <n v="0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x v="0"/>
    <n v="1"/>
    <n v="80"/>
    <x v="2"/>
    <n v="4"/>
    <x v="1"/>
    <n v="2"/>
    <n v="3"/>
    <n v="2"/>
    <n v="1"/>
    <n v="2"/>
  </r>
  <r>
    <n v="39"/>
    <x v="1"/>
    <n v="0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x v="1"/>
    <n v="2"/>
    <n v="80"/>
    <x v="1"/>
    <n v="13"/>
    <x v="2"/>
    <n v="3"/>
    <n v="6"/>
    <n v="4"/>
    <n v="0"/>
    <n v="5"/>
  </r>
  <r>
    <n v="25"/>
    <x v="1"/>
    <n v="0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x v="0"/>
    <n v="2"/>
    <n v="80"/>
    <x v="0"/>
    <n v="6"/>
    <x v="1"/>
    <n v="2"/>
    <n v="3"/>
    <n v="2"/>
    <n v="1"/>
    <n v="2"/>
  </r>
  <r>
    <n v="52"/>
    <x v="1"/>
    <n v="0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x v="0"/>
    <n v="2"/>
    <n v="80"/>
    <x v="1"/>
    <n v="24"/>
    <x v="1"/>
    <n v="2"/>
    <n v="5"/>
    <n v="3"/>
    <n v="0"/>
    <n v="2"/>
  </r>
  <r>
    <n v="43"/>
    <x v="1"/>
    <n v="0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x v="0"/>
    <n v="1"/>
    <n v="80"/>
    <x v="0"/>
    <n v="20"/>
    <x v="1"/>
    <n v="1"/>
    <n v="20"/>
    <n v="7"/>
    <n v="1"/>
    <n v="8"/>
  </r>
  <r>
    <n v="27"/>
    <x v="1"/>
    <n v="0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x v="0"/>
    <n v="4"/>
    <n v="80"/>
    <x v="0"/>
    <n v="6"/>
    <x v="1"/>
    <n v="3"/>
    <n v="6"/>
    <n v="2"/>
    <n v="4"/>
    <n v="4"/>
  </r>
  <r>
    <n v="27"/>
    <x v="0"/>
    <n v="1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x v="0"/>
    <n v="4"/>
    <n v="80"/>
    <x v="0"/>
    <n v="8"/>
    <x v="2"/>
    <n v="3"/>
    <n v="8"/>
    <n v="2"/>
    <n v="7"/>
    <n v="7"/>
  </r>
  <r>
    <n v="26"/>
    <x v="1"/>
    <n v="0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x v="0"/>
    <n v="4"/>
    <n v="80"/>
    <x v="0"/>
    <n v="5"/>
    <x v="2"/>
    <n v="3"/>
    <n v="4"/>
    <n v="3"/>
    <n v="1"/>
    <n v="1"/>
  </r>
  <r>
    <n v="42"/>
    <x v="1"/>
    <n v="0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x v="0"/>
    <n v="3"/>
    <n v="80"/>
    <x v="1"/>
    <n v="21"/>
    <x v="3"/>
    <n v="3"/>
    <n v="20"/>
    <n v="7"/>
    <n v="0"/>
    <n v="9"/>
  </r>
  <r>
    <n v="52"/>
    <x v="1"/>
    <n v="0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x v="0"/>
    <n v="3"/>
    <n v="80"/>
    <x v="0"/>
    <n v="12"/>
    <x v="2"/>
    <n v="1"/>
    <n v="5"/>
    <n v="4"/>
    <n v="0"/>
    <n v="4"/>
  </r>
  <r>
    <n v="37"/>
    <x v="1"/>
    <n v="0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x v="0"/>
    <n v="1"/>
    <n v="80"/>
    <x v="0"/>
    <n v="8"/>
    <x v="6"/>
    <n v="3"/>
    <n v="3"/>
    <n v="2"/>
    <n v="0"/>
    <n v="2"/>
  </r>
  <r>
    <n v="35"/>
    <x v="1"/>
    <n v="0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x v="0"/>
    <n v="3"/>
    <n v="80"/>
    <x v="0"/>
    <n v="10"/>
    <x v="2"/>
    <n v="3"/>
    <n v="2"/>
    <n v="2"/>
    <n v="2"/>
    <n v="2"/>
  </r>
  <r>
    <n v="25"/>
    <x v="1"/>
    <n v="0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x v="0"/>
    <n v="2"/>
    <n v="80"/>
    <x v="1"/>
    <n v="7"/>
    <x v="2"/>
    <n v="2"/>
    <n v="3"/>
    <n v="2"/>
    <n v="0"/>
    <n v="2"/>
  </r>
  <r>
    <n v="26"/>
    <x v="1"/>
    <n v="0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x v="0"/>
    <n v="4"/>
    <n v="80"/>
    <x v="0"/>
    <n v="8"/>
    <x v="2"/>
    <n v="3"/>
    <n v="7"/>
    <n v="7"/>
    <n v="0"/>
    <n v="7"/>
  </r>
  <r>
    <n v="29"/>
    <x v="1"/>
    <n v="0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x v="0"/>
    <n v="1"/>
    <n v="80"/>
    <x v="0"/>
    <n v="10"/>
    <x v="1"/>
    <n v="2"/>
    <n v="10"/>
    <n v="9"/>
    <n v="0"/>
    <n v="9"/>
  </r>
  <r>
    <n v="49"/>
    <x v="0"/>
    <n v="1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x v="1"/>
    <n v="1"/>
    <n v="80"/>
    <x v="0"/>
    <n v="20"/>
    <x v="2"/>
    <n v="3"/>
    <n v="4"/>
    <n v="3"/>
    <n v="1"/>
    <n v="3"/>
  </r>
  <r>
    <n v="29"/>
    <x v="0"/>
    <n v="1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x v="0"/>
    <n v="1"/>
    <n v="80"/>
    <x v="0"/>
    <n v="9"/>
    <x v="4"/>
    <n v="3"/>
    <n v="8"/>
    <n v="7"/>
    <n v="7"/>
    <n v="7"/>
  </r>
  <r>
    <n v="54"/>
    <x v="1"/>
    <n v="0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x v="0"/>
    <n v="4"/>
    <n v="80"/>
    <x v="0"/>
    <n v="29"/>
    <x v="1"/>
    <n v="2"/>
    <n v="20"/>
    <n v="7"/>
    <n v="12"/>
    <n v="7"/>
  </r>
  <r>
    <n v="58"/>
    <x v="1"/>
    <n v="0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x v="1"/>
    <n v="3"/>
    <n v="80"/>
    <x v="1"/>
    <n v="32"/>
    <x v="1"/>
    <n v="3"/>
    <n v="9"/>
    <n v="8"/>
    <n v="1"/>
    <n v="5"/>
  </r>
  <r>
    <n v="55"/>
    <x v="1"/>
    <n v="0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x v="0"/>
    <n v="4"/>
    <n v="80"/>
    <x v="3"/>
    <n v="31"/>
    <x v="5"/>
    <n v="4"/>
    <n v="7"/>
    <n v="7"/>
    <n v="0"/>
    <n v="0"/>
  </r>
  <r>
    <n v="36"/>
    <x v="1"/>
    <n v="0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x v="0"/>
    <n v="4"/>
    <n v="80"/>
    <x v="0"/>
    <n v="15"/>
    <x v="1"/>
    <n v="3"/>
    <n v="5"/>
    <n v="4"/>
    <n v="0"/>
    <n v="1"/>
  </r>
  <r>
    <n v="31"/>
    <x v="0"/>
    <n v="1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x v="0"/>
    <n v="2"/>
    <n v="80"/>
    <x v="0"/>
    <n v="1"/>
    <x v="1"/>
    <n v="3"/>
    <n v="1"/>
    <n v="0"/>
    <n v="0"/>
    <n v="0"/>
  </r>
  <r>
    <n v="30"/>
    <x v="1"/>
    <n v="0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x v="0"/>
    <n v="2"/>
    <n v="80"/>
    <x v="3"/>
    <n v="8"/>
    <x v="1"/>
    <n v="3"/>
    <n v="3"/>
    <n v="2"/>
    <n v="0"/>
    <n v="2"/>
  </r>
  <r>
    <n v="31"/>
    <x v="1"/>
    <n v="0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x v="0"/>
    <n v="3"/>
    <n v="80"/>
    <x v="0"/>
    <n v="9"/>
    <x v="1"/>
    <n v="4"/>
    <n v="3"/>
    <n v="2"/>
    <n v="1"/>
    <n v="0"/>
  </r>
  <r>
    <n v="34"/>
    <x v="1"/>
    <n v="0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x v="0"/>
    <n v="3"/>
    <n v="80"/>
    <x v="3"/>
    <n v="10"/>
    <x v="2"/>
    <n v="3"/>
    <n v="4"/>
    <n v="3"/>
    <n v="1"/>
    <n v="3"/>
  </r>
  <r>
    <n v="31"/>
    <x v="0"/>
    <n v="1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x v="0"/>
    <n v="3"/>
    <n v="80"/>
    <x v="0"/>
    <n v="1"/>
    <x v="1"/>
    <n v="4"/>
    <n v="1"/>
    <n v="0"/>
    <n v="0"/>
    <n v="0"/>
  </r>
  <r>
    <n v="27"/>
    <x v="1"/>
    <n v="0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x v="0"/>
    <n v="2"/>
    <n v="80"/>
    <x v="0"/>
    <n v="6"/>
    <x v="1"/>
    <n v="4"/>
    <n v="5"/>
    <n v="0"/>
    <n v="1"/>
    <n v="4"/>
  </r>
  <r>
    <n v="36"/>
    <x v="1"/>
    <n v="0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x v="0"/>
    <n v="3"/>
    <n v="80"/>
    <x v="0"/>
    <n v="10"/>
    <x v="2"/>
    <n v="2"/>
    <n v="10"/>
    <n v="4"/>
    <n v="1"/>
    <n v="8"/>
  </r>
  <r>
    <n v="36"/>
    <x v="1"/>
    <n v="0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x v="0"/>
    <n v="1"/>
    <n v="80"/>
    <x v="3"/>
    <n v="11"/>
    <x v="1"/>
    <n v="2"/>
    <n v="3"/>
    <n v="2"/>
    <n v="0"/>
    <n v="2"/>
  </r>
  <r>
    <n v="47"/>
    <x v="1"/>
    <n v="0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x v="0"/>
    <n v="3"/>
    <n v="80"/>
    <x v="1"/>
    <n v="17"/>
    <x v="2"/>
    <n v="2"/>
    <n v="6"/>
    <n v="5"/>
    <n v="1"/>
    <n v="2"/>
  </r>
  <r>
    <n v="25"/>
    <x v="0"/>
    <n v="1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x v="0"/>
    <n v="1"/>
    <n v="80"/>
    <x v="0"/>
    <n v="6"/>
    <x v="2"/>
    <n v="3"/>
    <n v="3"/>
    <n v="2"/>
    <n v="2"/>
    <n v="2"/>
  </r>
  <r>
    <n v="37"/>
    <x v="1"/>
    <n v="0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x v="0"/>
    <n v="1"/>
    <n v="80"/>
    <x v="0"/>
    <n v="7"/>
    <x v="2"/>
    <n v="1"/>
    <n v="6"/>
    <n v="5"/>
    <n v="1"/>
    <n v="3"/>
  </r>
  <r>
    <n v="56"/>
    <x v="1"/>
    <n v="0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x v="1"/>
    <n v="4"/>
    <n v="80"/>
    <x v="1"/>
    <n v="5"/>
    <x v="1"/>
    <n v="4"/>
    <n v="3"/>
    <n v="2"/>
    <n v="1"/>
    <n v="0"/>
  </r>
  <r>
    <n v="47"/>
    <x v="1"/>
    <n v="0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x v="0"/>
    <n v="2"/>
    <n v="80"/>
    <x v="3"/>
    <n v="26"/>
    <x v="2"/>
    <n v="4"/>
    <n v="20"/>
    <n v="17"/>
    <n v="5"/>
    <n v="6"/>
  </r>
  <r>
    <n v="24"/>
    <x v="1"/>
    <n v="0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x v="0"/>
    <n v="3"/>
    <n v="80"/>
    <x v="3"/>
    <n v="5"/>
    <x v="1"/>
    <n v="3"/>
    <n v="5"/>
    <n v="4"/>
    <n v="0"/>
    <n v="3"/>
  </r>
  <r>
    <n v="32"/>
    <x v="1"/>
    <n v="0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x v="0"/>
    <n v="3"/>
    <n v="80"/>
    <x v="1"/>
    <n v="7"/>
    <x v="1"/>
    <n v="2"/>
    <n v="4"/>
    <n v="3"/>
    <n v="0"/>
    <n v="3"/>
  </r>
  <r>
    <n v="34"/>
    <x v="1"/>
    <n v="0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x v="0"/>
    <n v="1"/>
    <n v="80"/>
    <x v="1"/>
    <n v="7"/>
    <x v="2"/>
    <n v="2"/>
    <n v="5"/>
    <n v="4"/>
    <n v="0"/>
    <n v="2"/>
  </r>
  <r>
    <n v="41"/>
    <x v="1"/>
    <n v="0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x v="0"/>
    <n v="1"/>
    <n v="80"/>
    <x v="0"/>
    <n v="7"/>
    <x v="3"/>
    <n v="2"/>
    <n v="4"/>
    <n v="2"/>
    <n v="0"/>
    <n v="3"/>
  </r>
  <r>
    <n v="40"/>
    <x v="1"/>
    <n v="0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x v="0"/>
    <n v="3"/>
    <n v="80"/>
    <x v="3"/>
    <n v="11"/>
    <x v="2"/>
    <n v="4"/>
    <n v="8"/>
    <n v="7"/>
    <n v="0"/>
    <n v="7"/>
  </r>
  <r>
    <n v="31"/>
    <x v="1"/>
    <n v="0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x v="0"/>
    <n v="1"/>
    <n v="80"/>
    <x v="1"/>
    <n v="13"/>
    <x v="3"/>
    <n v="3"/>
    <n v="13"/>
    <n v="7"/>
    <n v="9"/>
    <n v="9"/>
  </r>
  <r>
    <n v="46"/>
    <x v="0"/>
    <n v="1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x v="0"/>
    <n v="1"/>
    <n v="80"/>
    <x v="1"/>
    <n v="28"/>
    <x v="4"/>
    <n v="4"/>
    <n v="7"/>
    <n v="7"/>
    <n v="4"/>
    <n v="3"/>
  </r>
  <r>
    <n v="39"/>
    <x v="0"/>
    <n v="1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x v="1"/>
    <n v="2"/>
    <n v="80"/>
    <x v="0"/>
    <n v="11"/>
    <x v="2"/>
    <n v="4"/>
    <n v="1"/>
    <n v="0"/>
    <n v="0"/>
    <n v="0"/>
  </r>
  <r>
    <n v="31"/>
    <x v="0"/>
    <n v="1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x v="0"/>
    <n v="1"/>
    <n v="80"/>
    <x v="0"/>
    <n v="10"/>
    <x v="2"/>
    <n v="3"/>
    <n v="10"/>
    <n v="8"/>
    <n v="4"/>
    <n v="7"/>
  </r>
  <r>
    <n v="45"/>
    <x v="1"/>
    <n v="0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x v="0"/>
    <n v="2"/>
    <n v="80"/>
    <x v="1"/>
    <n v="24"/>
    <x v="2"/>
    <n v="3"/>
    <n v="7"/>
    <n v="7"/>
    <n v="0"/>
    <n v="7"/>
  </r>
  <r>
    <n v="31"/>
    <x v="1"/>
    <n v="0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x v="0"/>
    <n v="4"/>
    <n v="80"/>
    <x v="0"/>
    <n v="8"/>
    <x v="1"/>
    <n v="3"/>
    <n v="3"/>
    <n v="2"/>
    <n v="0"/>
    <n v="2"/>
  </r>
  <r>
    <n v="31"/>
    <x v="0"/>
    <n v="1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x v="0"/>
    <n v="3"/>
    <n v="80"/>
    <x v="1"/>
    <n v="7"/>
    <x v="2"/>
    <n v="1"/>
    <n v="2"/>
    <n v="2"/>
    <n v="2"/>
    <n v="2"/>
  </r>
  <r>
    <n v="45"/>
    <x v="1"/>
    <n v="0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x v="0"/>
    <n v="4"/>
    <n v="80"/>
    <x v="3"/>
    <n v="10"/>
    <x v="5"/>
    <n v="4"/>
    <n v="3"/>
    <n v="1"/>
    <n v="1"/>
    <n v="2"/>
  </r>
  <r>
    <n v="48"/>
    <x v="1"/>
    <n v="0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x v="0"/>
    <n v="1"/>
    <n v="80"/>
    <x v="2"/>
    <n v="15"/>
    <x v="1"/>
    <n v="3"/>
    <n v="2"/>
    <n v="2"/>
    <n v="2"/>
    <n v="2"/>
  </r>
  <r>
    <n v="34"/>
    <x v="0"/>
    <n v="1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x v="0"/>
    <n v="4"/>
    <n v="80"/>
    <x v="0"/>
    <n v="2"/>
    <x v="0"/>
    <n v="3"/>
    <n v="2"/>
    <n v="2"/>
    <n v="2"/>
    <n v="2"/>
  </r>
  <r>
    <n v="40"/>
    <x v="1"/>
    <n v="0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x v="0"/>
    <n v="3"/>
    <n v="80"/>
    <x v="1"/>
    <n v="16"/>
    <x v="3"/>
    <n v="3"/>
    <n v="9"/>
    <n v="8"/>
    <n v="4"/>
    <n v="8"/>
  </r>
  <r>
    <n v="28"/>
    <x v="1"/>
    <n v="0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x v="0"/>
    <n v="4"/>
    <n v="80"/>
    <x v="0"/>
    <n v="6"/>
    <x v="5"/>
    <n v="3"/>
    <n v="5"/>
    <n v="4"/>
    <n v="1"/>
    <n v="3"/>
  </r>
  <r>
    <n v="44"/>
    <x v="1"/>
    <n v="0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x v="0"/>
    <n v="4"/>
    <n v="80"/>
    <x v="0"/>
    <n v="7"/>
    <x v="3"/>
    <n v="3"/>
    <n v="5"/>
    <n v="2"/>
    <n v="0"/>
    <n v="3"/>
  </r>
  <r>
    <n v="53"/>
    <x v="1"/>
    <n v="0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x v="0"/>
    <n v="2"/>
    <n v="80"/>
    <x v="0"/>
    <n v="35"/>
    <x v="2"/>
    <n v="2"/>
    <n v="9"/>
    <n v="8"/>
    <n v="8"/>
    <n v="8"/>
  </r>
  <r>
    <n v="49"/>
    <x v="1"/>
    <n v="0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x v="0"/>
    <n v="2"/>
    <n v="80"/>
    <x v="1"/>
    <n v="20"/>
    <x v="0"/>
    <n v="2"/>
    <n v="3"/>
    <n v="2"/>
    <n v="1"/>
    <n v="2"/>
  </r>
  <r>
    <n v="40"/>
    <x v="1"/>
    <n v="0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x v="0"/>
    <n v="3"/>
    <n v="80"/>
    <x v="1"/>
    <n v="8"/>
    <x v="1"/>
    <n v="4"/>
    <n v="3"/>
    <n v="1"/>
    <n v="1"/>
    <n v="2"/>
  </r>
  <r>
    <n v="44"/>
    <x v="1"/>
    <n v="0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x v="0"/>
    <n v="3"/>
    <n v="80"/>
    <x v="0"/>
    <n v="6"/>
    <x v="1"/>
    <n v="2"/>
    <n v="5"/>
    <n v="2"/>
    <n v="1"/>
    <n v="3"/>
  </r>
  <r>
    <n v="33"/>
    <x v="1"/>
    <n v="0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x v="0"/>
    <n v="1"/>
    <n v="80"/>
    <x v="3"/>
    <n v="5"/>
    <x v="2"/>
    <n v="3"/>
    <n v="4"/>
    <n v="3"/>
    <n v="0"/>
    <n v="3"/>
  </r>
  <r>
    <n v="34"/>
    <x v="1"/>
    <n v="0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x v="0"/>
    <n v="4"/>
    <n v="80"/>
    <x v="0"/>
    <n v="15"/>
    <x v="2"/>
    <n v="3"/>
    <n v="13"/>
    <n v="9"/>
    <n v="3"/>
    <n v="12"/>
  </r>
  <r>
    <n v="30"/>
    <x v="1"/>
    <n v="0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x v="0"/>
    <n v="3"/>
    <n v="80"/>
    <x v="3"/>
    <n v="4"/>
    <x v="2"/>
    <n v="2"/>
    <n v="2"/>
    <n v="1"/>
    <n v="2"/>
    <n v="2"/>
  </r>
  <r>
    <n v="42"/>
    <x v="1"/>
    <n v="0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x v="0"/>
    <n v="3"/>
    <n v="80"/>
    <x v="0"/>
    <n v="12"/>
    <x v="1"/>
    <n v="3"/>
    <n v="12"/>
    <n v="9"/>
    <n v="5"/>
    <n v="8"/>
  </r>
  <r>
    <n v="44"/>
    <x v="1"/>
    <n v="0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x v="0"/>
    <n v="3"/>
    <n v="80"/>
    <x v="1"/>
    <n v="11"/>
    <x v="5"/>
    <n v="2"/>
    <n v="1"/>
    <n v="0"/>
    <n v="0"/>
    <n v="0"/>
  </r>
  <r>
    <n v="30"/>
    <x v="1"/>
    <n v="0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x v="0"/>
    <n v="2"/>
    <n v="80"/>
    <x v="3"/>
    <n v="1"/>
    <x v="2"/>
    <n v="2"/>
    <n v="1"/>
    <n v="0"/>
    <n v="0"/>
    <n v="0"/>
  </r>
  <r>
    <n v="57"/>
    <x v="1"/>
    <n v="0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x v="1"/>
    <n v="1"/>
    <n v="80"/>
    <x v="1"/>
    <n v="13"/>
    <x v="2"/>
    <n v="2"/>
    <n v="12"/>
    <n v="9"/>
    <n v="2"/>
    <n v="8"/>
  </r>
  <r>
    <n v="49"/>
    <x v="1"/>
    <n v="0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x v="0"/>
    <n v="2"/>
    <n v="80"/>
    <x v="3"/>
    <n v="29"/>
    <x v="1"/>
    <n v="3"/>
    <n v="8"/>
    <n v="7"/>
    <n v="0"/>
    <n v="7"/>
  </r>
  <r>
    <n v="34"/>
    <x v="1"/>
    <n v="0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x v="0"/>
    <n v="4"/>
    <n v="80"/>
    <x v="3"/>
    <n v="16"/>
    <x v="1"/>
    <n v="2"/>
    <n v="14"/>
    <n v="8"/>
    <n v="6"/>
    <n v="9"/>
  </r>
  <r>
    <n v="28"/>
    <x v="0"/>
    <n v="1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x v="0"/>
    <n v="4"/>
    <n v="80"/>
    <x v="1"/>
    <n v="5"/>
    <x v="1"/>
    <n v="4"/>
    <n v="3"/>
    <n v="2"/>
    <n v="1"/>
    <n v="2"/>
  </r>
  <r>
    <n v="29"/>
    <x v="0"/>
    <n v="1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x v="0"/>
    <n v="1"/>
    <n v="80"/>
    <x v="0"/>
    <n v="7"/>
    <x v="5"/>
    <n v="1"/>
    <n v="5"/>
    <n v="3"/>
    <n v="0"/>
    <n v="0"/>
  </r>
  <r>
    <n v="34"/>
    <x v="0"/>
    <n v="1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x v="1"/>
    <n v="3"/>
    <n v="80"/>
    <x v="0"/>
    <n v="16"/>
    <x v="2"/>
    <n v="4"/>
    <n v="15"/>
    <n v="9"/>
    <n v="10"/>
    <n v="10"/>
  </r>
  <r>
    <n v="35"/>
    <x v="1"/>
    <n v="0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x v="0"/>
    <n v="1"/>
    <n v="80"/>
    <x v="1"/>
    <n v="1"/>
    <x v="1"/>
    <n v="3"/>
    <n v="1"/>
    <n v="0"/>
    <n v="0"/>
    <n v="0"/>
  </r>
  <r>
    <n v="24"/>
    <x v="0"/>
    <n v="1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x v="0"/>
    <n v="3"/>
    <n v="80"/>
    <x v="0"/>
    <n v="4"/>
    <x v="2"/>
    <n v="2"/>
    <n v="0"/>
    <n v="0"/>
    <n v="0"/>
    <n v="0"/>
  </r>
  <r>
    <n v="24"/>
    <x v="1"/>
    <n v="0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x v="0"/>
    <n v="3"/>
    <n v="80"/>
    <x v="1"/>
    <n v="1"/>
    <x v="2"/>
    <n v="3"/>
    <n v="1"/>
    <n v="0"/>
    <n v="0"/>
    <n v="0"/>
  </r>
  <r>
    <n v="44"/>
    <x v="1"/>
    <n v="0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x v="0"/>
    <n v="2"/>
    <n v="80"/>
    <x v="0"/>
    <n v="16"/>
    <x v="2"/>
    <n v="2"/>
    <n v="2"/>
    <n v="2"/>
    <n v="2"/>
    <n v="2"/>
  </r>
  <r>
    <n v="29"/>
    <x v="1"/>
    <n v="0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x v="0"/>
    <n v="3"/>
    <n v="80"/>
    <x v="3"/>
    <n v="10"/>
    <x v="1"/>
    <n v="3"/>
    <n v="10"/>
    <n v="7"/>
    <n v="0"/>
    <n v="4"/>
  </r>
  <r>
    <n v="30"/>
    <x v="1"/>
    <n v="0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x v="1"/>
    <n v="1"/>
    <n v="80"/>
    <x v="1"/>
    <n v="6"/>
    <x v="1"/>
    <n v="4"/>
    <n v="5"/>
    <n v="3"/>
    <n v="1"/>
    <n v="3"/>
  </r>
  <r>
    <n v="55"/>
    <x v="1"/>
    <n v="0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x v="0"/>
    <n v="2"/>
    <n v="80"/>
    <x v="0"/>
    <n v="4"/>
    <x v="2"/>
    <n v="3"/>
    <n v="3"/>
    <n v="2"/>
    <n v="1"/>
    <n v="2"/>
  </r>
  <r>
    <n v="33"/>
    <x v="1"/>
    <n v="0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x v="0"/>
    <n v="4"/>
    <n v="80"/>
    <x v="0"/>
    <n v="8"/>
    <x v="3"/>
    <n v="3"/>
    <n v="5"/>
    <n v="4"/>
    <n v="0"/>
    <n v="2"/>
  </r>
  <r>
    <n v="47"/>
    <x v="1"/>
    <n v="0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x v="0"/>
    <n v="3"/>
    <n v="80"/>
    <x v="1"/>
    <n v="11"/>
    <x v="5"/>
    <n v="2"/>
    <n v="5"/>
    <n v="4"/>
    <n v="1"/>
    <n v="2"/>
  </r>
  <r>
    <n v="28"/>
    <x v="0"/>
    <n v="1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x v="0"/>
    <n v="3"/>
    <n v="80"/>
    <x v="0"/>
    <n v="8"/>
    <x v="2"/>
    <n v="2"/>
    <n v="0"/>
    <n v="0"/>
    <n v="0"/>
    <n v="0"/>
  </r>
  <r>
    <n v="28"/>
    <x v="1"/>
    <n v="0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x v="0"/>
    <n v="4"/>
    <n v="80"/>
    <x v="1"/>
    <n v="1"/>
    <x v="2"/>
    <n v="1"/>
    <n v="1"/>
    <n v="0"/>
    <n v="0"/>
    <n v="0"/>
  </r>
  <r>
    <n v="28"/>
    <x v="1"/>
    <n v="0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x v="0"/>
    <n v="4"/>
    <n v="80"/>
    <x v="0"/>
    <n v="5"/>
    <x v="3"/>
    <n v="3"/>
    <n v="4"/>
    <n v="2"/>
    <n v="1"/>
    <n v="3"/>
  </r>
  <r>
    <n v="49"/>
    <x v="1"/>
    <n v="0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x v="1"/>
    <n v="1"/>
    <n v="80"/>
    <x v="1"/>
    <n v="10"/>
    <x v="1"/>
    <n v="3"/>
    <n v="3"/>
    <n v="2"/>
    <n v="1"/>
    <n v="2"/>
  </r>
  <r>
    <n v="29"/>
    <x v="1"/>
    <n v="0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x v="0"/>
    <n v="3"/>
    <n v="80"/>
    <x v="2"/>
    <n v="4"/>
    <x v="1"/>
    <n v="3"/>
    <n v="3"/>
    <n v="2"/>
    <n v="0"/>
    <n v="2"/>
  </r>
  <r>
    <n v="28"/>
    <x v="1"/>
    <n v="0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x v="0"/>
    <n v="2"/>
    <n v="80"/>
    <x v="3"/>
    <n v="8"/>
    <x v="2"/>
    <n v="2"/>
    <n v="8"/>
    <n v="6"/>
    <n v="1"/>
    <n v="7"/>
  </r>
  <r>
    <n v="33"/>
    <x v="1"/>
    <n v="0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x v="0"/>
    <n v="1"/>
    <n v="80"/>
    <x v="0"/>
    <n v="14"/>
    <x v="6"/>
    <n v="3"/>
    <n v="0"/>
    <n v="0"/>
    <n v="0"/>
    <n v="0"/>
  </r>
  <r>
    <n v="32"/>
    <x v="1"/>
    <n v="0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x v="1"/>
    <n v="2"/>
    <n v="80"/>
    <x v="0"/>
    <n v="10"/>
    <x v="3"/>
    <n v="4"/>
    <n v="5"/>
    <n v="2"/>
    <n v="0"/>
    <n v="0"/>
  </r>
  <r>
    <n v="54"/>
    <x v="1"/>
    <n v="0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x v="1"/>
    <n v="1"/>
    <n v="80"/>
    <x v="1"/>
    <n v="26"/>
    <x v="2"/>
    <n v="3"/>
    <n v="14"/>
    <n v="9"/>
    <n v="1"/>
    <n v="12"/>
  </r>
  <r>
    <n v="29"/>
    <x v="0"/>
    <n v="1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x v="0"/>
    <n v="3"/>
    <n v="80"/>
    <x v="0"/>
    <n v="11"/>
    <x v="2"/>
    <n v="1"/>
    <n v="9"/>
    <n v="7"/>
    <n v="0"/>
    <n v="7"/>
  </r>
  <r>
    <n v="44"/>
    <x v="1"/>
    <n v="0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x v="0"/>
    <n v="3"/>
    <n v="80"/>
    <x v="1"/>
    <n v="24"/>
    <x v="4"/>
    <n v="4"/>
    <n v="20"/>
    <n v="6"/>
    <n v="14"/>
    <n v="17"/>
  </r>
  <r>
    <n v="39"/>
    <x v="1"/>
    <n v="0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x v="0"/>
    <n v="4"/>
    <n v="80"/>
    <x v="0"/>
    <n v="9"/>
    <x v="1"/>
    <n v="3"/>
    <n v="2"/>
    <n v="0"/>
    <n v="2"/>
    <n v="2"/>
  </r>
  <r>
    <n v="46"/>
    <x v="1"/>
    <n v="0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x v="0"/>
    <n v="4"/>
    <n v="80"/>
    <x v="1"/>
    <n v="23"/>
    <x v="2"/>
    <n v="4"/>
    <n v="13"/>
    <n v="12"/>
    <n v="5"/>
    <n v="1"/>
  </r>
  <r>
    <n v="35"/>
    <x v="1"/>
    <n v="0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x v="0"/>
    <n v="4"/>
    <n v="80"/>
    <x v="0"/>
    <n v="11"/>
    <x v="1"/>
    <n v="1"/>
    <n v="11"/>
    <n v="8"/>
    <n v="3"/>
    <n v="3"/>
  </r>
  <r>
    <n v="23"/>
    <x v="1"/>
    <n v="0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x v="0"/>
    <n v="2"/>
    <n v="80"/>
    <x v="0"/>
    <n v="5"/>
    <x v="2"/>
    <n v="3"/>
    <n v="4"/>
    <n v="3"/>
    <n v="1"/>
    <n v="2"/>
  </r>
  <r>
    <n v="40"/>
    <x v="0"/>
    <n v="1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x v="0"/>
    <n v="2"/>
    <n v="80"/>
    <x v="0"/>
    <n v="15"/>
    <x v="1"/>
    <n v="1"/>
    <n v="5"/>
    <n v="4"/>
    <n v="1"/>
    <n v="0"/>
  </r>
  <r>
    <n v="34"/>
    <x v="1"/>
    <n v="0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x v="0"/>
    <n v="4"/>
    <n v="80"/>
    <x v="0"/>
    <n v="10"/>
    <x v="1"/>
    <n v="3"/>
    <n v="10"/>
    <n v="9"/>
    <n v="8"/>
    <n v="6"/>
  </r>
  <r>
    <n v="31"/>
    <x v="0"/>
    <n v="1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x v="0"/>
    <n v="1"/>
    <n v="80"/>
    <x v="0"/>
    <n v="7"/>
    <x v="2"/>
    <n v="1"/>
    <n v="7"/>
    <n v="2"/>
    <n v="7"/>
    <n v="7"/>
  </r>
  <r>
    <n v="50"/>
    <x v="1"/>
    <n v="0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x v="0"/>
    <n v="4"/>
    <n v="80"/>
    <x v="0"/>
    <n v="32"/>
    <x v="2"/>
    <n v="3"/>
    <n v="32"/>
    <n v="6"/>
    <n v="13"/>
    <n v="9"/>
  </r>
  <r>
    <n v="34"/>
    <x v="1"/>
    <n v="0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x v="1"/>
    <n v="2"/>
    <n v="80"/>
    <x v="1"/>
    <n v="12"/>
    <x v="5"/>
    <n v="3"/>
    <n v="11"/>
    <n v="10"/>
    <n v="5"/>
    <n v="7"/>
  </r>
  <r>
    <n v="42"/>
    <x v="1"/>
    <n v="0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x v="0"/>
    <n v="2"/>
    <n v="80"/>
    <x v="1"/>
    <n v="4"/>
    <x v="1"/>
    <n v="3"/>
    <n v="1"/>
    <n v="0"/>
    <n v="0"/>
    <n v="0"/>
  </r>
  <r>
    <n v="37"/>
    <x v="1"/>
    <n v="0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x v="0"/>
    <n v="1"/>
    <n v="80"/>
    <x v="0"/>
    <n v="10"/>
    <x v="2"/>
    <n v="3"/>
    <n v="10"/>
    <n v="8"/>
    <n v="3"/>
    <n v="7"/>
  </r>
  <r>
    <n v="29"/>
    <x v="1"/>
    <n v="0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x v="0"/>
    <n v="3"/>
    <n v="80"/>
    <x v="1"/>
    <n v="9"/>
    <x v="1"/>
    <n v="3"/>
    <n v="7"/>
    <n v="7"/>
    <n v="0"/>
    <n v="7"/>
  </r>
  <r>
    <n v="33"/>
    <x v="1"/>
    <n v="0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x v="0"/>
    <n v="4"/>
    <n v="80"/>
    <x v="0"/>
    <n v="5"/>
    <x v="2"/>
    <n v="3"/>
    <n v="5"/>
    <n v="3"/>
    <n v="0"/>
    <n v="2"/>
  </r>
  <r>
    <n v="45"/>
    <x v="1"/>
    <n v="0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x v="1"/>
    <n v="4"/>
    <n v="80"/>
    <x v="1"/>
    <n v="8"/>
    <x v="1"/>
    <n v="3"/>
    <n v="5"/>
    <n v="4"/>
    <n v="0"/>
    <n v="3"/>
  </r>
  <r>
    <n v="42"/>
    <x v="1"/>
    <n v="0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x v="0"/>
    <n v="3"/>
    <n v="80"/>
    <x v="1"/>
    <n v="24"/>
    <x v="1"/>
    <n v="1"/>
    <n v="20"/>
    <n v="8"/>
    <n v="13"/>
    <n v="9"/>
  </r>
  <r>
    <n v="40"/>
    <x v="1"/>
    <n v="0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x v="0"/>
    <n v="4"/>
    <n v="80"/>
    <x v="0"/>
    <n v="9"/>
    <x v="3"/>
    <n v="4"/>
    <n v="8"/>
    <n v="4"/>
    <n v="7"/>
    <n v="1"/>
  </r>
  <r>
    <n v="33"/>
    <x v="1"/>
    <n v="0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x v="0"/>
    <n v="2"/>
    <n v="80"/>
    <x v="1"/>
    <n v="15"/>
    <x v="1"/>
    <n v="3"/>
    <n v="15"/>
    <n v="14"/>
    <n v="5"/>
    <n v="7"/>
  </r>
  <r>
    <n v="40"/>
    <x v="1"/>
    <n v="0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x v="1"/>
    <n v="4"/>
    <n v="80"/>
    <x v="0"/>
    <n v="21"/>
    <x v="2"/>
    <n v="3"/>
    <n v="21"/>
    <n v="7"/>
    <n v="7"/>
    <n v="7"/>
  </r>
  <r>
    <n v="24"/>
    <x v="1"/>
    <n v="0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x v="0"/>
    <n v="2"/>
    <n v="80"/>
    <x v="2"/>
    <n v="2"/>
    <x v="1"/>
    <n v="3"/>
    <n v="1"/>
    <n v="1"/>
    <n v="0"/>
    <n v="0"/>
  </r>
  <r>
    <n v="40"/>
    <x v="1"/>
    <n v="0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x v="0"/>
    <n v="3"/>
    <n v="80"/>
    <x v="0"/>
    <n v="8"/>
    <x v="2"/>
    <n v="3"/>
    <n v="2"/>
    <n v="2"/>
    <n v="2"/>
    <n v="2"/>
  </r>
  <r>
    <n v="45"/>
    <x v="1"/>
    <n v="0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x v="0"/>
    <n v="1"/>
    <n v="80"/>
    <x v="2"/>
    <n v="10"/>
    <x v="5"/>
    <n v="3"/>
    <n v="10"/>
    <n v="8"/>
    <n v="7"/>
    <n v="7"/>
  </r>
  <r>
    <n v="35"/>
    <x v="1"/>
    <n v="0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x v="1"/>
    <n v="1"/>
    <n v="80"/>
    <x v="3"/>
    <n v="6"/>
    <x v="3"/>
    <n v="3"/>
    <n v="5"/>
    <n v="3"/>
    <n v="4"/>
    <n v="2"/>
  </r>
  <r>
    <n v="32"/>
    <x v="1"/>
    <n v="0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x v="0"/>
    <n v="1"/>
    <n v="80"/>
    <x v="1"/>
    <n v="12"/>
    <x v="2"/>
    <n v="3"/>
    <n v="7"/>
    <n v="1"/>
    <n v="2"/>
    <n v="5"/>
  </r>
  <r>
    <n v="36"/>
    <x v="1"/>
    <n v="0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x v="1"/>
    <n v="4"/>
    <n v="80"/>
    <x v="0"/>
    <n v="7"/>
    <x v="1"/>
    <n v="2"/>
    <n v="3"/>
    <n v="2"/>
    <n v="1"/>
    <n v="2"/>
  </r>
  <r>
    <n v="48"/>
    <x v="1"/>
    <n v="0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x v="0"/>
    <n v="3"/>
    <n v="80"/>
    <x v="1"/>
    <n v="18"/>
    <x v="2"/>
    <n v="3"/>
    <n v="8"/>
    <n v="7"/>
    <n v="7"/>
    <n v="7"/>
  </r>
  <r>
    <n v="29"/>
    <x v="1"/>
    <n v="0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x v="0"/>
    <n v="1"/>
    <n v="80"/>
    <x v="3"/>
    <n v="5"/>
    <x v="2"/>
    <n v="2"/>
    <n v="1"/>
    <n v="0"/>
    <n v="0"/>
    <n v="0"/>
  </r>
  <r>
    <n v="33"/>
    <x v="1"/>
    <n v="0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x v="0"/>
    <n v="4"/>
    <n v="80"/>
    <x v="1"/>
    <n v="8"/>
    <x v="6"/>
    <n v="1"/>
    <n v="2"/>
    <n v="2"/>
    <n v="2"/>
    <n v="2"/>
  </r>
  <r>
    <n v="30"/>
    <x v="0"/>
    <n v="1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x v="0"/>
    <n v="4"/>
    <n v="80"/>
    <x v="1"/>
    <n v="10"/>
    <x v="5"/>
    <n v="3"/>
    <n v="10"/>
    <n v="8"/>
    <n v="6"/>
    <n v="7"/>
  </r>
  <r>
    <n v="38"/>
    <x v="1"/>
    <n v="0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x v="0"/>
    <n v="3"/>
    <n v="80"/>
    <x v="0"/>
    <n v="10"/>
    <x v="2"/>
    <n v="3"/>
    <n v="6"/>
    <n v="3"/>
    <n v="1"/>
    <n v="2"/>
  </r>
  <r>
    <n v="35"/>
    <x v="1"/>
    <n v="0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x v="0"/>
    <n v="2"/>
    <n v="80"/>
    <x v="0"/>
    <n v="3"/>
    <x v="1"/>
    <n v="3"/>
    <n v="3"/>
    <n v="0"/>
    <n v="1"/>
    <n v="2"/>
  </r>
  <r>
    <n v="30"/>
    <x v="1"/>
    <n v="0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x v="0"/>
    <n v="2"/>
    <n v="80"/>
    <x v="1"/>
    <n v="9"/>
    <x v="1"/>
    <n v="3"/>
    <n v="4"/>
    <n v="2"/>
    <n v="1"/>
    <n v="3"/>
  </r>
  <r>
    <n v="35"/>
    <x v="0"/>
    <n v="1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x v="0"/>
    <n v="4"/>
    <n v="80"/>
    <x v="1"/>
    <n v="1"/>
    <x v="2"/>
    <n v="3"/>
    <n v="1"/>
    <n v="0"/>
    <n v="0"/>
    <n v="0"/>
  </r>
  <r>
    <n v="53"/>
    <x v="0"/>
    <n v="1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x v="0"/>
    <n v="2"/>
    <n v="80"/>
    <x v="1"/>
    <n v="34"/>
    <x v="5"/>
    <n v="3"/>
    <n v="33"/>
    <n v="7"/>
    <n v="1"/>
    <n v="9"/>
  </r>
  <r>
    <n v="38"/>
    <x v="0"/>
    <n v="1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x v="0"/>
    <n v="1"/>
    <n v="80"/>
    <x v="3"/>
    <n v="7"/>
    <x v="2"/>
    <n v="3"/>
    <n v="5"/>
    <n v="2"/>
    <n v="1"/>
    <n v="4"/>
  </r>
  <r>
    <n v="32"/>
    <x v="1"/>
    <n v="0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x v="0"/>
    <n v="2"/>
    <n v="80"/>
    <x v="1"/>
    <n v="9"/>
    <x v="1"/>
    <n v="2"/>
    <n v="6"/>
    <n v="5"/>
    <n v="1"/>
    <n v="2"/>
  </r>
  <r>
    <n v="48"/>
    <x v="1"/>
    <n v="0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x v="0"/>
    <n v="4"/>
    <n v="80"/>
    <x v="1"/>
    <n v="10"/>
    <x v="1"/>
    <n v="2"/>
    <n v="8"/>
    <n v="2"/>
    <n v="7"/>
    <n v="6"/>
  </r>
  <r>
    <n v="34"/>
    <x v="1"/>
    <n v="0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x v="0"/>
    <n v="3"/>
    <n v="80"/>
    <x v="0"/>
    <n v="1"/>
    <x v="5"/>
    <n v="1"/>
    <n v="1"/>
    <n v="0"/>
    <n v="0"/>
    <n v="0"/>
  </r>
  <r>
    <n v="55"/>
    <x v="1"/>
    <n v="0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x v="1"/>
    <n v="3"/>
    <n v="80"/>
    <x v="1"/>
    <n v="36"/>
    <x v="1"/>
    <n v="3"/>
    <n v="36"/>
    <n v="6"/>
    <n v="2"/>
    <n v="13"/>
  </r>
  <r>
    <n v="34"/>
    <x v="1"/>
    <n v="0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x v="0"/>
    <n v="2"/>
    <n v="80"/>
    <x v="1"/>
    <n v="9"/>
    <x v="1"/>
    <n v="2"/>
    <n v="2"/>
    <n v="2"/>
    <n v="2"/>
    <n v="1"/>
  </r>
  <r>
    <n v="26"/>
    <x v="1"/>
    <n v="0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x v="1"/>
    <n v="1"/>
    <n v="80"/>
    <x v="0"/>
    <n v="1"/>
    <x v="3"/>
    <n v="3"/>
    <n v="1"/>
    <n v="0"/>
    <n v="0"/>
    <n v="0"/>
  </r>
  <r>
    <n v="38"/>
    <x v="1"/>
    <n v="0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x v="0"/>
    <n v="4"/>
    <n v="80"/>
    <x v="1"/>
    <n v="10"/>
    <x v="1"/>
    <n v="3"/>
    <n v="9"/>
    <n v="8"/>
    <n v="7"/>
    <n v="7"/>
  </r>
  <r>
    <n v="38"/>
    <x v="1"/>
    <n v="0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x v="0"/>
    <n v="2"/>
    <n v="80"/>
    <x v="0"/>
    <n v="8"/>
    <x v="3"/>
    <n v="4"/>
    <n v="3"/>
    <n v="2"/>
    <n v="1"/>
    <n v="2"/>
  </r>
  <r>
    <n v="36"/>
    <x v="1"/>
    <n v="0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x v="0"/>
    <n v="1"/>
    <n v="80"/>
    <x v="0"/>
    <n v="15"/>
    <x v="3"/>
    <n v="3"/>
    <n v="1"/>
    <n v="0"/>
    <n v="0"/>
    <n v="0"/>
  </r>
  <r>
    <n v="29"/>
    <x v="1"/>
    <n v="0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x v="0"/>
    <n v="4"/>
    <n v="80"/>
    <x v="0"/>
    <n v="10"/>
    <x v="1"/>
    <n v="3"/>
    <n v="10"/>
    <n v="9"/>
    <n v="1"/>
    <n v="5"/>
  </r>
  <r>
    <n v="35"/>
    <x v="1"/>
    <n v="0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x v="0"/>
    <n v="3"/>
    <n v="80"/>
    <x v="0"/>
    <n v="10"/>
    <x v="5"/>
    <n v="3"/>
    <n v="5"/>
    <n v="2"/>
    <n v="0"/>
    <n v="4"/>
  </r>
  <r>
    <n v="39"/>
    <x v="1"/>
    <n v="0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x v="0"/>
    <n v="1"/>
    <n v="80"/>
    <x v="1"/>
    <n v="11"/>
    <x v="1"/>
    <n v="3"/>
    <n v="7"/>
    <n v="6"/>
    <n v="7"/>
    <n v="6"/>
  </r>
  <r>
    <n v="29"/>
    <x v="1"/>
    <n v="0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x v="0"/>
    <n v="4"/>
    <n v="80"/>
    <x v="1"/>
    <n v="6"/>
    <x v="0"/>
    <n v="4"/>
    <n v="6"/>
    <n v="4"/>
    <n v="1"/>
    <n v="3"/>
  </r>
  <r>
    <n v="50"/>
    <x v="1"/>
    <n v="0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x v="0"/>
    <n v="3"/>
    <n v="80"/>
    <x v="1"/>
    <n v="27"/>
    <x v="2"/>
    <n v="3"/>
    <n v="1"/>
    <n v="0"/>
    <n v="0"/>
    <n v="0"/>
  </r>
  <r>
    <n v="23"/>
    <x v="1"/>
    <n v="0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x v="0"/>
    <n v="4"/>
    <n v="80"/>
    <x v="1"/>
    <n v="4"/>
    <x v="2"/>
    <n v="3"/>
    <n v="2"/>
    <n v="2"/>
    <n v="2"/>
    <n v="2"/>
  </r>
  <r>
    <n v="36"/>
    <x v="1"/>
    <n v="0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x v="0"/>
    <n v="4"/>
    <n v="80"/>
    <x v="1"/>
    <n v="9"/>
    <x v="1"/>
    <n v="3"/>
    <n v="3"/>
    <n v="2"/>
    <n v="0"/>
    <n v="2"/>
  </r>
  <r>
    <n v="42"/>
    <x v="1"/>
    <n v="0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x v="1"/>
    <n v="4"/>
    <n v="80"/>
    <x v="0"/>
    <n v="24"/>
    <x v="2"/>
    <n v="3"/>
    <n v="1"/>
    <n v="0"/>
    <n v="0"/>
    <n v="1"/>
  </r>
  <r>
    <n v="35"/>
    <x v="1"/>
    <n v="0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x v="0"/>
    <n v="4"/>
    <n v="80"/>
    <x v="3"/>
    <n v="10"/>
    <x v="1"/>
    <n v="2"/>
    <n v="10"/>
    <n v="9"/>
    <n v="6"/>
    <n v="8"/>
  </r>
  <r>
    <n v="34"/>
    <x v="1"/>
    <n v="0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x v="0"/>
    <n v="2"/>
    <n v="80"/>
    <x v="1"/>
    <n v="8"/>
    <x v="1"/>
    <n v="2"/>
    <n v="8"/>
    <n v="2"/>
    <n v="7"/>
    <n v="7"/>
  </r>
  <r>
    <n v="40"/>
    <x v="1"/>
    <n v="0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x v="0"/>
    <n v="3"/>
    <n v="80"/>
    <x v="1"/>
    <n v="5"/>
    <x v="2"/>
    <n v="3"/>
    <n v="5"/>
    <n v="4"/>
    <n v="1"/>
    <n v="2"/>
  </r>
  <r>
    <n v="43"/>
    <x v="1"/>
    <n v="0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x v="0"/>
    <n v="3"/>
    <n v="80"/>
    <x v="1"/>
    <n v="8"/>
    <x v="0"/>
    <n v="3"/>
    <n v="6"/>
    <n v="4"/>
    <n v="0"/>
    <n v="2"/>
  </r>
  <r>
    <n v="35"/>
    <x v="1"/>
    <n v="0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x v="0"/>
    <n v="4"/>
    <n v="80"/>
    <x v="1"/>
    <n v="1"/>
    <x v="3"/>
    <n v="2"/>
    <n v="1"/>
    <n v="0"/>
    <n v="0"/>
    <n v="1"/>
  </r>
  <r>
    <n v="46"/>
    <x v="1"/>
    <n v="0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x v="0"/>
    <n v="2"/>
    <n v="80"/>
    <x v="0"/>
    <n v="27"/>
    <x v="3"/>
    <n v="1"/>
    <n v="26"/>
    <n v="0"/>
    <n v="0"/>
    <n v="12"/>
  </r>
  <r>
    <n v="28"/>
    <x v="0"/>
    <n v="1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x v="0"/>
    <n v="3"/>
    <n v="80"/>
    <x v="2"/>
    <n v="1"/>
    <x v="1"/>
    <n v="3"/>
    <n v="1"/>
    <n v="1"/>
    <n v="0"/>
    <n v="0"/>
  </r>
  <r>
    <n v="22"/>
    <x v="1"/>
    <n v="0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x v="0"/>
    <n v="2"/>
    <n v="80"/>
    <x v="0"/>
    <n v="4"/>
    <x v="2"/>
    <n v="2"/>
    <n v="4"/>
    <n v="2"/>
    <n v="1"/>
    <n v="3"/>
  </r>
  <r>
    <n v="50"/>
    <x v="1"/>
    <n v="0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x v="0"/>
    <n v="3"/>
    <n v="80"/>
    <x v="1"/>
    <n v="32"/>
    <x v="1"/>
    <n v="3"/>
    <n v="30"/>
    <n v="8"/>
    <n v="12"/>
    <n v="13"/>
  </r>
  <r>
    <n v="32"/>
    <x v="1"/>
    <n v="0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x v="0"/>
    <n v="4"/>
    <n v="80"/>
    <x v="3"/>
    <n v="6"/>
    <x v="1"/>
    <n v="3"/>
    <n v="3"/>
    <n v="2"/>
    <n v="0"/>
    <n v="2"/>
  </r>
  <r>
    <n v="44"/>
    <x v="1"/>
    <n v="0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x v="0"/>
    <n v="4"/>
    <n v="80"/>
    <x v="1"/>
    <n v="23"/>
    <x v="5"/>
    <n v="2"/>
    <n v="22"/>
    <n v="7"/>
    <n v="1"/>
    <n v="10"/>
  </r>
  <r>
    <n v="30"/>
    <x v="1"/>
    <n v="0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x v="0"/>
    <n v="2"/>
    <n v="80"/>
    <x v="1"/>
    <n v="6"/>
    <x v="1"/>
    <n v="2"/>
    <n v="6"/>
    <n v="4"/>
    <n v="1"/>
    <n v="1"/>
  </r>
  <r>
    <n v="45"/>
    <x v="1"/>
    <n v="0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x v="0"/>
    <n v="1"/>
    <n v="80"/>
    <x v="0"/>
    <n v="10"/>
    <x v="1"/>
    <n v="3"/>
    <n v="10"/>
    <n v="7"/>
    <n v="1"/>
    <n v="4"/>
  </r>
  <r>
    <n v="45"/>
    <x v="1"/>
    <n v="0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x v="0"/>
    <n v="1"/>
    <n v="80"/>
    <x v="1"/>
    <n v="10"/>
    <x v="2"/>
    <n v="3"/>
    <n v="10"/>
    <n v="7"/>
    <n v="4"/>
    <n v="5"/>
  </r>
  <r>
    <n v="31"/>
    <x v="1"/>
    <n v="0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x v="0"/>
    <n v="4"/>
    <n v="80"/>
    <x v="0"/>
    <n v="10"/>
    <x v="1"/>
    <n v="3"/>
    <n v="5"/>
    <n v="2"/>
    <n v="0"/>
    <n v="3"/>
  </r>
  <r>
    <n v="36"/>
    <x v="1"/>
    <n v="0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x v="0"/>
    <n v="2"/>
    <n v="80"/>
    <x v="3"/>
    <n v="7"/>
    <x v="2"/>
    <n v="3"/>
    <n v="3"/>
    <n v="2"/>
    <n v="1"/>
    <n v="1"/>
  </r>
  <r>
    <n v="34"/>
    <x v="1"/>
    <n v="0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x v="0"/>
    <n v="1"/>
    <n v="80"/>
    <x v="1"/>
    <n v="9"/>
    <x v="1"/>
    <n v="3"/>
    <n v="9"/>
    <n v="7"/>
    <n v="7"/>
    <n v="2"/>
  </r>
  <r>
    <n v="49"/>
    <x v="1"/>
    <n v="0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x v="0"/>
    <n v="4"/>
    <n v="80"/>
    <x v="1"/>
    <n v="10"/>
    <x v="1"/>
    <n v="2"/>
    <n v="9"/>
    <n v="6"/>
    <n v="1"/>
    <n v="4"/>
  </r>
  <r>
    <n v="39"/>
    <x v="1"/>
    <n v="0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x v="0"/>
    <n v="4"/>
    <n v="80"/>
    <x v="2"/>
    <n v="10"/>
    <x v="1"/>
    <n v="3"/>
    <n v="7"/>
    <n v="7"/>
    <n v="7"/>
    <n v="7"/>
  </r>
  <r>
    <n v="27"/>
    <x v="1"/>
    <n v="0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x v="0"/>
    <n v="1"/>
    <n v="80"/>
    <x v="3"/>
    <n v="7"/>
    <x v="1"/>
    <n v="3"/>
    <n v="7"/>
    <n v="7"/>
    <n v="0"/>
    <n v="7"/>
  </r>
  <r>
    <n v="35"/>
    <x v="1"/>
    <n v="0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x v="0"/>
    <n v="4"/>
    <n v="80"/>
    <x v="0"/>
    <n v="16"/>
    <x v="2"/>
    <n v="3"/>
    <n v="16"/>
    <n v="15"/>
    <n v="1"/>
    <n v="10"/>
  </r>
  <r>
    <n v="28"/>
    <x v="1"/>
    <n v="0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x v="1"/>
    <n v="2"/>
    <n v="80"/>
    <x v="1"/>
    <n v="6"/>
    <x v="3"/>
    <n v="2"/>
    <n v="5"/>
    <n v="3"/>
    <n v="0"/>
    <n v="0"/>
  </r>
  <r>
    <n v="21"/>
    <x v="1"/>
    <n v="0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x v="0"/>
    <n v="3"/>
    <n v="80"/>
    <x v="0"/>
    <n v="3"/>
    <x v="2"/>
    <n v="3"/>
    <n v="2"/>
    <n v="2"/>
    <n v="2"/>
    <n v="2"/>
  </r>
  <r>
    <n v="18"/>
    <x v="0"/>
    <n v="1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x v="0"/>
    <n v="3"/>
    <n v="80"/>
    <x v="0"/>
    <n v="0"/>
    <x v="2"/>
    <n v="4"/>
    <n v="0"/>
    <n v="0"/>
    <n v="0"/>
    <n v="0"/>
  </r>
  <r>
    <n v="47"/>
    <x v="1"/>
    <n v="0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x v="0"/>
    <n v="3"/>
    <n v="80"/>
    <x v="1"/>
    <n v="27"/>
    <x v="2"/>
    <n v="3"/>
    <n v="5"/>
    <n v="2"/>
    <n v="1"/>
    <n v="0"/>
  </r>
  <r>
    <n v="39"/>
    <x v="1"/>
    <n v="0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x v="0"/>
    <n v="4"/>
    <n v="80"/>
    <x v="1"/>
    <n v="11"/>
    <x v="1"/>
    <n v="3"/>
    <n v="10"/>
    <n v="8"/>
    <n v="0"/>
    <n v="7"/>
  </r>
  <r>
    <n v="40"/>
    <x v="1"/>
    <n v="0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x v="0"/>
    <n v="4"/>
    <n v="80"/>
    <x v="3"/>
    <n v="18"/>
    <x v="2"/>
    <n v="3"/>
    <n v="18"/>
    <n v="15"/>
    <n v="14"/>
    <n v="12"/>
  </r>
  <r>
    <n v="35"/>
    <x v="1"/>
    <n v="0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x v="0"/>
    <n v="4"/>
    <n v="80"/>
    <x v="1"/>
    <n v="15"/>
    <x v="3"/>
    <n v="3"/>
    <n v="14"/>
    <n v="11"/>
    <n v="2"/>
    <n v="9"/>
  </r>
  <r>
    <n v="37"/>
    <x v="1"/>
    <n v="0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x v="0"/>
    <n v="1"/>
    <n v="80"/>
    <x v="2"/>
    <n v="9"/>
    <x v="2"/>
    <n v="2"/>
    <n v="4"/>
    <n v="3"/>
    <n v="0"/>
    <n v="2"/>
  </r>
  <r>
    <n v="39"/>
    <x v="1"/>
    <n v="0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x v="0"/>
    <n v="4"/>
    <n v="80"/>
    <x v="0"/>
    <n v="10"/>
    <x v="2"/>
    <n v="1"/>
    <n v="9"/>
    <n v="2"/>
    <n v="3"/>
    <n v="8"/>
  </r>
  <r>
    <n v="45"/>
    <x v="1"/>
    <n v="0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x v="0"/>
    <n v="1"/>
    <n v="80"/>
    <x v="3"/>
    <n v="10"/>
    <x v="1"/>
    <n v="3"/>
    <n v="10"/>
    <n v="7"/>
    <n v="3"/>
    <n v="9"/>
  </r>
  <r>
    <n v="38"/>
    <x v="1"/>
    <n v="0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x v="0"/>
    <n v="4"/>
    <n v="80"/>
    <x v="1"/>
    <n v="10"/>
    <x v="6"/>
    <n v="4"/>
    <n v="5"/>
    <n v="4"/>
    <n v="0"/>
    <n v="2"/>
  </r>
  <r>
    <n v="35"/>
    <x v="0"/>
    <n v="1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x v="0"/>
    <n v="3"/>
    <n v="80"/>
    <x v="0"/>
    <n v="15"/>
    <x v="1"/>
    <n v="3"/>
    <n v="13"/>
    <n v="12"/>
    <n v="6"/>
    <n v="0"/>
  </r>
  <r>
    <n v="37"/>
    <x v="1"/>
    <n v="0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x v="0"/>
    <n v="1"/>
    <n v="80"/>
    <x v="1"/>
    <n v="8"/>
    <x v="2"/>
    <n v="1"/>
    <n v="8"/>
    <n v="4"/>
    <n v="7"/>
    <n v="7"/>
  </r>
  <r>
    <n v="40"/>
    <x v="1"/>
    <n v="0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x v="0"/>
    <n v="4"/>
    <n v="80"/>
    <x v="0"/>
    <n v="18"/>
    <x v="2"/>
    <n v="2"/>
    <n v="4"/>
    <n v="2"/>
    <n v="3"/>
    <n v="3"/>
  </r>
  <r>
    <n v="44"/>
    <x v="1"/>
    <n v="0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x v="0"/>
    <n v="3"/>
    <n v="80"/>
    <x v="0"/>
    <n v="14"/>
    <x v="1"/>
    <n v="3"/>
    <n v="10"/>
    <n v="7"/>
    <n v="0"/>
    <n v="2"/>
  </r>
  <r>
    <n v="48"/>
    <x v="1"/>
    <n v="0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x v="1"/>
    <n v="2"/>
    <n v="80"/>
    <x v="1"/>
    <n v="23"/>
    <x v="1"/>
    <n v="3"/>
    <n v="2"/>
    <n v="2"/>
    <n v="2"/>
    <n v="2"/>
  </r>
  <r>
    <n v="35"/>
    <x v="0"/>
    <n v="1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x v="0"/>
    <n v="4"/>
    <n v="80"/>
    <x v="3"/>
    <n v="7"/>
    <x v="2"/>
    <n v="2"/>
    <n v="2"/>
    <n v="2"/>
    <n v="2"/>
    <n v="2"/>
  </r>
  <r>
    <n v="24"/>
    <x v="1"/>
    <n v="0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x v="0"/>
    <n v="3"/>
    <n v="80"/>
    <x v="0"/>
    <n v="6"/>
    <x v="2"/>
    <n v="3"/>
    <n v="6"/>
    <n v="3"/>
    <n v="1"/>
    <n v="3"/>
  </r>
  <r>
    <n v="27"/>
    <x v="1"/>
    <n v="0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x v="0"/>
    <n v="1"/>
    <n v="80"/>
    <x v="0"/>
    <n v="5"/>
    <x v="0"/>
    <n v="3"/>
    <n v="3"/>
    <n v="2"/>
    <n v="0"/>
    <n v="2"/>
  </r>
  <r>
    <n v="27"/>
    <x v="1"/>
    <n v="0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x v="0"/>
    <n v="3"/>
    <n v="80"/>
    <x v="0"/>
    <n v="6"/>
    <x v="0"/>
    <n v="2"/>
    <n v="4"/>
    <n v="2"/>
    <n v="1"/>
    <n v="2"/>
  </r>
  <r>
    <n v="40"/>
    <x v="0"/>
    <n v="1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x v="0"/>
    <n v="2"/>
    <n v="80"/>
    <x v="0"/>
    <n v="10"/>
    <x v="1"/>
    <n v="1"/>
    <n v="4"/>
    <n v="2"/>
    <n v="0"/>
    <n v="3"/>
  </r>
  <r>
    <n v="29"/>
    <x v="1"/>
    <n v="0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x v="0"/>
    <n v="3"/>
    <n v="80"/>
    <x v="0"/>
    <n v="8"/>
    <x v="2"/>
    <n v="3"/>
    <n v="5"/>
    <n v="2"/>
    <n v="1"/>
    <n v="4"/>
  </r>
  <r>
    <n v="36"/>
    <x v="1"/>
    <n v="0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x v="0"/>
    <n v="3"/>
    <n v="80"/>
    <x v="3"/>
    <n v="9"/>
    <x v="6"/>
    <n v="3"/>
    <n v="3"/>
    <n v="2"/>
    <n v="0"/>
    <n v="2"/>
  </r>
  <r>
    <n v="25"/>
    <x v="1"/>
    <n v="0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x v="0"/>
    <n v="3"/>
    <n v="80"/>
    <x v="3"/>
    <n v="7"/>
    <x v="6"/>
    <n v="3"/>
    <n v="7"/>
    <n v="7"/>
    <n v="0"/>
    <n v="7"/>
  </r>
  <r>
    <n v="39"/>
    <x v="1"/>
    <n v="0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x v="1"/>
    <n v="3"/>
    <n v="80"/>
    <x v="0"/>
    <n v="7"/>
    <x v="1"/>
    <n v="3"/>
    <n v="5"/>
    <n v="4"/>
    <n v="1"/>
    <n v="0"/>
  </r>
  <r>
    <n v="49"/>
    <x v="1"/>
    <n v="0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x v="0"/>
    <n v="2"/>
    <n v="80"/>
    <x v="3"/>
    <n v="27"/>
    <x v="2"/>
    <n v="3"/>
    <n v="4"/>
    <n v="2"/>
    <n v="1"/>
    <n v="2"/>
  </r>
  <r>
    <n v="50"/>
    <x v="1"/>
    <n v="0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x v="0"/>
    <n v="3"/>
    <n v="80"/>
    <x v="2"/>
    <n v="19"/>
    <x v="1"/>
    <n v="3"/>
    <n v="14"/>
    <n v="11"/>
    <n v="1"/>
    <n v="11"/>
  </r>
  <r>
    <n v="20"/>
    <x v="1"/>
    <n v="0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x v="0"/>
    <n v="1"/>
    <n v="80"/>
    <x v="0"/>
    <n v="2"/>
    <x v="1"/>
    <n v="3"/>
    <n v="2"/>
    <n v="2"/>
    <n v="2"/>
    <n v="2"/>
  </r>
  <r>
    <n v="34"/>
    <x v="1"/>
    <n v="0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x v="0"/>
    <n v="3"/>
    <n v="80"/>
    <x v="1"/>
    <n v="11"/>
    <x v="2"/>
    <n v="3"/>
    <n v="11"/>
    <n v="8"/>
    <n v="7"/>
    <n v="9"/>
  </r>
  <r>
    <n v="36"/>
    <x v="1"/>
    <n v="0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x v="0"/>
    <n v="3"/>
    <n v="80"/>
    <x v="0"/>
    <n v="15"/>
    <x v="5"/>
    <n v="3"/>
    <n v="4"/>
    <n v="3"/>
    <n v="1"/>
    <n v="3"/>
  </r>
  <r>
    <n v="49"/>
    <x v="1"/>
    <n v="0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x v="0"/>
    <n v="2"/>
    <n v="80"/>
    <x v="1"/>
    <n v="30"/>
    <x v="1"/>
    <n v="3"/>
    <n v="15"/>
    <n v="11"/>
    <n v="2"/>
    <n v="12"/>
  </r>
  <r>
    <n v="36"/>
    <x v="1"/>
    <n v="0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x v="0"/>
    <n v="3"/>
    <n v="80"/>
    <x v="0"/>
    <n v="4"/>
    <x v="6"/>
    <n v="3"/>
    <n v="3"/>
    <n v="2"/>
    <n v="1"/>
    <n v="2"/>
  </r>
  <r>
    <n v="36"/>
    <x v="1"/>
    <n v="0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x v="1"/>
    <n v="1"/>
    <n v="80"/>
    <x v="1"/>
    <n v="13"/>
    <x v="1"/>
    <n v="3"/>
    <n v="5"/>
    <n v="4"/>
    <n v="0"/>
    <n v="4"/>
  </r>
  <r>
    <n v="54"/>
    <x v="1"/>
    <n v="0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x v="1"/>
    <n v="3"/>
    <n v="80"/>
    <x v="1"/>
    <n v="36"/>
    <x v="6"/>
    <n v="3"/>
    <n v="10"/>
    <n v="8"/>
    <n v="4"/>
    <n v="7"/>
  </r>
  <r>
    <n v="43"/>
    <x v="1"/>
    <n v="0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x v="1"/>
    <n v="1"/>
    <n v="80"/>
    <x v="1"/>
    <n v="14"/>
    <x v="1"/>
    <n v="3"/>
    <n v="14"/>
    <n v="10"/>
    <n v="6"/>
    <n v="11"/>
  </r>
  <r>
    <n v="35"/>
    <x v="0"/>
    <n v="1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x v="1"/>
    <n v="1"/>
    <n v="80"/>
    <x v="0"/>
    <n v="13"/>
    <x v="2"/>
    <n v="4"/>
    <n v="11"/>
    <n v="9"/>
    <n v="6"/>
    <n v="7"/>
  </r>
  <r>
    <n v="38"/>
    <x v="1"/>
    <n v="0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x v="0"/>
    <n v="4"/>
    <n v="80"/>
    <x v="3"/>
    <n v="19"/>
    <x v="5"/>
    <n v="4"/>
    <n v="13"/>
    <n v="11"/>
    <n v="2"/>
    <n v="9"/>
  </r>
  <r>
    <n v="29"/>
    <x v="1"/>
    <n v="0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x v="0"/>
    <n v="2"/>
    <n v="80"/>
    <x v="1"/>
    <n v="10"/>
    <x v="1"/>
    <n v="2"/>
    <n v="10"/>
    <n v="0"/>
    <n v="0"/>
    <n v="9"/>
  </r>
  <r>
    <n v="33"/>
    <x v="1"/>
    <n v="0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x v="0"/>
    <n v="3"/>
    <n v="80"/>
    <x v="3"/>
    <n v="6"/>
    <x v="3"/>
    <n v="3"/>
    <n v="6"/>
    <n v="2"/>
    <n v="0"/>
    <n v="4"/>
  </r>
  <r>
    <n v="32"/>
    <x v="1"/>
    <n v="0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x v="0"/>
    <n v="3"/>
    <n v="80"/>
    <x v="3"/>
    <n v="10"/>
    <x v="5"/>
    <n v="2"/>
    <n v="9"/>
    <n v="5"/>
    <n v="1"/>
    <n v="6"/>
  </r>
  <r>
    <n v="31"/>
    <x v="1"/>
    <n v="0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x v="0"/>
    <n v="1"/>
    <n v="80"/>
    <x v="3"/>
    <n v="10"/>
    <x v="2"/>
    <n v="3"/>
    <n v="10"/>
    <n v="0"/>
    <n v="0"/>
    <n v="2"/>
  </r>
  <r>
    <n v="49"/>
    <x v="1"/>
    <n v="0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x v="0"/>
    <n v="2"/>
    <n v="80"/>
    <x v="1"/>
    <n v="17"/>
    <x v="2"/>
    <n v="2"/>
    <n v="2"/>
    <n v="2"/>
    <n v="2"/>
    <n v="2"/>
  </r>
  <r>
    <n v="38"/>
    <x v="1"/>
    <n v="0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x v="1"/>
    <n v="2"/>
    <n v="80"/>
    <x v="0"/>
    <n v="4"/>
    <x v="1"/>
    <n v="3"/>
    <n v="4"/>
    <n v="3"/>
    <n v="3"/>
    <n v="3"/>
  </r>
  <r>
    <n v="47"/>
    <x v="1"/>
    <n v="0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x v="0"/>
    <n v="3"/>
    <n v="80"/>
    <x v="2"/>
    <n v="29"/>
    <x v="2"/>
    <n v="3"/>
    <n v="3"/>
    <n v="2"/>
    <n v="1"/>
    <n v="2"/>
  </r>
  <r>
    <n v="49"/>
    <x v="1"/>
    <n v="0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x v="0"/>
    <n v="1"/>
    <n v="80"/>
    <x v="0"/>
    <n v="23"/>
    <x v="2"/>
    <n v="3"/>
    <n v="8"/>
    <n v="7"/>
    <n v="0"/>
    <n v="0"/>
  </r>
  <r>
    <n v="41"/>
    <x v="1"/>
    <n v="0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x v="0"/>
    <n v="4"/>
    <n v="80"/>
    <x v="0"/>
    <n v="21"/>
    <x v="2"/>
    <n v="3"/>
    <n v="2"/>
    <n v="0"/>
    <n v="0"/>
    <n v="2"/>
  </r>
  <r>
    <n v="20"/>
    <x v="1"/>
    <n v="0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x v="0"/>
    <n v="1"/>
    <n v="80"/>
    <x v="0"/>
    <n v="2"/>
    <x v="1"/>
    <n v="3"/>
    <n v="2"/>
    <n v="2"/>
    <n v="0"/>
    <n v="2"/>
  </r>
  <r>
    <n v="33"/>
    <x v="1"/>
    <n v="0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x v="1"/>
    <n v="3"/>
    <n v="80"/>
    <x v="1"/>
    <n v="7"/>
    <x v="2"/>
    <n v="3"/>
    <n v="6"/>
    <n v="5"/>
    <n v="1"/>
    <n v="2"/>
  </r>
  <r>
    <n v="36"/>
    <x v="1"/>
    <n v="0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x v="0"/>
    <n v="2"/>
    <n v="80"/>
    <x v="3"/>
    <n v="10"/>
    <x v="2"/>
    <n v="2"/>
    <n v="3"/>
    <n v="2"/>
    <n v="0"/>
    <n v="2"/>
  </r>
  <r>
    <n v="44"/>
    <x v="1"/>
    <n v="0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x v="0"/>
    <n v="1"/>
    <n v="80"/>
    <x v="2"/>
    <n v="8"/>
    <x v="2"/>
    <n v="3"/>
    <n v="2"/>
    <n v="2"/>
    <n v="2"/>
    <n v="2"/>
  </r>
  <r>
    <n v="23"/>
    <x v="0"/>
    <n v="1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x v="0"/>
    <n v="1"/>
    <n v="80"/>
    <x v="0"/>
    <n v="5"/>
    <x v="2"/>
    <n v="3"/>
    <n v="5"/>
    <n v="4"/>
    <n v="1"/>
    <n v="2"/>
  </r>
  <r>
    <n v="38"/>
    <x v="1"/>
    <n v="0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x v="0"/>
    <n v="4"/>
    <n v="80"/>
    <x v="1"/>
    <n v="7"/>
    <x v="3"/>
    <n v="2"/>
    <n v="0"/>
    <n v="0"/>
    <n v="0"/>
    <n v="0"/>
  </r>
  <r>
    <n v="53"/>
    <x v="1"/>
    <n v="0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x v="0"/>
    <n v="3"/>
    <n v="80"/>
    <x v="0"/>
    <n v="11"/>
    <x v="2"/>
    <n v="3"/>
    <n v="4"/>
    <n v="3"/>
    <n v="1"/>
    <n v="2"/>
  </r>
  <r>
    <n v="48"/>
    <x v="0"/>
    <n v="1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x v="0"/>
    <n v="3"/>
    <n v="80"/>
    <x v="3"/>
    <n v="19"/>
    <x v="1"/>
    <n v="3"/>
    <n v="9"/>
    <n v="7"/>
    <n v="7"/>
    <n v="7"/>
  </r>
  <r>
    <n v="32"/>
    <x v="0"/>
    <n v="1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x v="0"/>
    <n v="1"/>
    <n v="80"/>
    <x v="0"/>
    <n v="1"/>
    <x v="2"/>
    <n v="3"/>
    <n v="1"/>
    <n v="0"/>
    <n v="0"/>
    <n v="0"/>
  </r>
  <r>
    <n v="26"/>
    <x v="1"/>
    <n v="0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x v="1"/>
    <n v="3"/>
    <n v="80"/>
    <x v="0"/>
    <n v="7"/>
    <x v="3"/>
    <n v="3"/>
    <n v="7"/>
    <n v="7"/>
    <n v="5"/>
    <n v="7"/>
  </r>
  <r>
    <n v="55"/>
    <x v="1"/>
    <n v="0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x v="0"/>
    <n v="4"/>
    <n v="80"/>
    <x v="1"/>
    <n v="8"/>
    <x v="4"/>
    <n v="3"/>
    <n v="4"/>
    <n v="2"/>
    <n v="1"/>
    <n v="2"/>
  </r>
  <r>
    <n v="34"/>
    <x v="1"/>
    <n v="0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x v="0"/>
    <n v="3"/>
    <n v="80"/>
    <x v="1"/>
    <n v="15"/>
    <x v="1"/>
    <n v="4"/>
    <n v="15"/>
    <n v="10"/>
    <n v="4"/>
    <n v="13"/>
  </r>
  <r>
    <n v="60"/>
    <x v="1"/>
    <n v="0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x v="1"/>
    <n v="3"/>
    <n v="80"/>
    <x v="1"/>
    <n v="19"/>
    <x v="2"/>
    <n v="4"/>
    <n v="1"/>
    <n v="0"/>
    <n v="0"/>
    <n v="0"/>
  </r>
  <r>
    <n v="33"/>
    <x v="1"/>
    <n v="0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x v="0"/>
    <n v="4"/>
    <n v="80"/>
    <x v="2"/>
    <n v="14"/>
    <x v="6"/>
    <n v="3"/>
    <n v="14"/>
    <n v="11"/>
    <n v="2"/>
    <n v="13"/>
  </r>
  <r>
    <n v="37"/>
    <x v="1"/>
    <n v="0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x v="0"/>
    <n v="3"/>
    <n v="80"/>
    <x v="3"/>
    <n v="6"/>
    <x v="2"/>
    <n v="2"/>
    <n v="6"/>
    <n v="3"/>
    <n v="1"/>
    <n v="3"/>
  </r>
  <r>
    <n v="34"/>
    <x v="1"/>
    <n v="0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x v="0"/>
    <n v="2"/>
    <n v="80"/>
    <x v="0"/>
    <n v="10"/>
    <x v="1"/>
    <n v="3"/>
    <n v="10"/>
    <n v="9"/>
    <n v="8"/>
    <n v="7"/>
  </r>
  <r>
    <n v="23"/>
    <x v="0"/>
    <n v="1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x v="1"/>
    <n v="2"/>
    <n v="80"/>
    <x v="1"/>
    <n v="3"/>
    <x v="2"/>
    <n v="3"/>
    <n v="3"/>
    <n v="2"/>
    <n v="0"/>
    <n v="2"/>
  </r>
  <r>
    <n v="44"/>
    <x v="1"/>
    <n v="0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x v="0"/>
    <n v="2"/>
    <n v="80"/>
    <x v="1"/>
    <n v="9"/>
    <x v="2"/>
    <n v="3"/>
    <n v="8"/>
    <n v="7"/>
    <n v="6"/>
    <n v="7"/>
  </r>
  <r>
    <n v="35"/>
    <x v="1"/>
    <n v="0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x v="0"/>
    <n v="3"/>
    <n v="80"/>
    <x v="0"/>
    <n v="6"/>
    <x v="2"/>
    <n v="4"/>
    <n v="5"/>
    <n v="4"/>
    <n v="1"/>
    <n v="4"/>
  </r>
  <r>
    <n v="43"/>
    <x v="1"/>
    <n v="0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x v="0"/>
    <n v="1"/>
    <n v="80"/>
    <x v="1"/>
    <n v="10"/>
    <x v="1"/>
    <n v="3"/>
    <n v="10"/>
    <n v="9"/>
    <n v="8"/>
    <n v="8"/>
  </r>
  <r>
    <n v="24"/>
    <x v="1"/>
    <n v="0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x v="0"/>
    <n v="4"/>
    <n v="80"/>
    <x v="1"/>
    <n v="5"/>
    <x v="4"/>
    <n v="3"/>
    <n v="5"/>
    <n v="3"/>
    <n v="0"/>
    <n v="4"/>
  </r>
  <r>
    <n v="41"/>
    <x v="1"/>
    <n v="0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x v="0"/>
    <n v="2"/>
    <n v="80"/>
    <x v="0"/>
    <n v="10"/>
    <x v="1"/>
    <n v="3"/>
    <n v="10"/>
    <n v="8"/>
    <n v="8"/>
    <n v="7"/>
  </r>
  <r>
    <n v="29"/>
    <x v="1"/>
    <n v="0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x v="0"/>
    <n v="3"/>
    <n v="80"/>
    <x v="1"/>
    <n v="9"/>
    <x v="2"/>
    <n v="3"/>
    <n v="5"/>
    <n v="3"/>
    <n v="1"/>
    <n v="2"/>
  </r>
  <r>
    <n v="36"/>
    <x v="1"/>
    <n v="0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x v="0"/>
    <n v="3"/>
    <n v="80"/>
    <x v="0"/>
    <n v="17"/>
    <x v="2"/>
    <n v="2"/>
    <n v="13"/>
    <n v="7"/>
    <n v="6"/>
    <n v="7"/>
  </r>
  <r>
    <n v="45"/>
    <x v="1"/>
    <n v="0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x v="1"/>
    <n v="4"/>
    <n v="80"/>
    <x v="1"/>
    <n v="25"/>
    <x v="1"/>
    <n v="2"/>
    <n v="23"/>
    <n v="15"/>
    <n v="14"/>
    <n v="4"/>
  </r>
  <r>
    <n v="24"/>
    <x v="0"/>
    <n v="1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x v="0"/>
    <n v="3"/>
    <n v="80"/>
    <x v="1"/>
    <n v="1"/>
    <x v="2"/>
    <n v="3"/>
    <n v="1"/>
    <n v="0"/>
    <n v="0"/>
    <n v="0"/>
  </r>
  <r>
    <n v="47"/>
    <x v="0"/>
    <n v="1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x v="0"/>
    <n v="3"/>
    <n v="80"/>
    <x v="0"/>
    <n v="25"/>
    <x v="1"/>
    <n v="1"/>
    <n v="23"/>
    <n v="5"/>
    <n v="14"/>
    <n v="10"/>
  </r>
  <r>
    <n v="26"/>
    <x v="1"/>
    <n v="0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x v="0"/>
    <n v="3"/>
    <n v="80"/>
    <x v="2"/>
    <n v="3"/>
    <x v="1"/>
    <n v="4"/>
    <n v="3"/>
    <n v="2"/>
    <n v="0"/>
    <n v="2"/>
  </r>
  <r>
    <n v="45"/>
    <x v="1"/>
    <n v="0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x v="0"/>
    <n v="3"/>
    <n v="80"/>
    <x v="0"/>
    <n v="21"/>
    <x v="2"/>
    <n v="3"/>
    <n v="21"/>
    <n v="6"/>
    <n v="8"/>
    <n v="6"/>
  </r>
  <r>
    <n v="32"/>
    <x v="1"/>
    <n v="0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x v="0"/>
    <n v="1"/>
    <n v="80"/>
    <x v="1"/>
    <n v="10"/>
    <x v="1"/>
    <n v="2"/>
    <n v="5"/>
    <n v="2"/>
    <n v="1"/>
    <n v="3"/>
  </r>
  <r>
    <n v="31"/>
    <x v="1"/>
    <n v="0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x v="0"/>
    <n v="4"/>
    <n v="80"/>
    <x v="1"/>
    <n v="6"/>
    <x v="2"/>
    <n v="4"/>
    <n v="5"/>
    <n v="2"/>
    <n v="0"/>
    <n v="3"/>
  </r>
  <r>
    <n v="41"/>
    <x v="1"/>
    <n v="0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x v="0"/>
    <n v="2"/>
    <n v="80"/>
    <x v="1"/>
    <n v="10"/>
    <x v="5"/>
    <n v="3"/>
    <n v="3"/>
    <n v="2"/>
    <n v="1"/>
    <n v="2"/>
  </r>
  <r>
    <n v="40"/>
    <x v="1"/>
    <n v="0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x v="0"/>
    <n v="2"/>
    <n v="80"/>
    <x v="1"/>
    <n v="18"/>
    <x v="1"/>
    <n v="3"/>
    <n v="1"/>
    <n v="0"/>
    <n v="0"/>
    <n v="0"/>
  </r>
  <r>
    <n v="24"/>
    <x v="1"/>
    <n v="0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x v="0"/>
    <n v="2"/>
    <n v="80"/>
    <x v="2"/>
    <n v="6"/>
    <x v="2"/>
    <n v="4"/>
    <n v="6"/>
    <n v="2"/>
    <n v="1"/>
    <n v="2"/>
  </r>
  <r>
    <n v="46"/>
    <x v="1"/>
    <n v="0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x v="0"/>
    <n v="4"/>
    <n v="80"/>
    <x v="0"/>
    <n v="19"/>
    <x v="1"/>
    <n v="3"/>
    <n v="10"/>
    <n v="7"/>
    <n v="0"/>
    <n v="9"/>
  </r>
  <r>
    <n v="35"/>
    <x v="1"/>
    <n v="0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x v="0"/>
    <n v="2"/>
    <n v="80"/>
    <x v="1"/>
    <n v="17"/>
    <x v="1"/>
    <n v="3"/>
    <n v="7"/>
    <n v="7"/>
    <n v="0"/>
    <n v="7"/>
  </r>
  <r>
    <n v="30"/>
    <x v="1"/>
    <n v="0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x v="0"/>
    <n v="2"/>
    <n v="80"/>
    <x v="1"/>
    <n v="10"/>
    <x v="2"/>
    <n v="2"/>
    <n v="10"/>
    <n v="0"/>
    <n v="0"/>
    <n v="8"/>
  </r>
  <r>
    <n v="47"/>
    <x v="1"/>
    <n v="0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x v="0"/>
    <n v="4"/>
    <n v="80"/>
    <x v="1"/>
    <n v="4"/>
    <x v="1"/>
    <n v="1"/>
    <n v="1"/>
    <n v="0"/>
    <n v="0"/>
    <n v="0"/>
  </r>
  <r>
    <n v="46"/>
    <x v="1"/>
    <n v="0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x v="0"/>
    <n v="2"/>
    <n v="80"/>
    <x v="1"/>
    <n v="13"/>
    <x v="3"/>
    <n v="2"/>
    <n v="10"/>
    <n v="6"/>
    <n v="0"/>
    <n v="3"/>
  </r>
  <r>
    <n v="36"/>
    <x v="0"/>
    <n v="1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x v="0"/>
    <n v="2"/>
    <n v="80"/>
    <x v="2"/>
    <n v="16"/>
    <x v="1"/>
    <n v="3"/>
    <n v="2"/>
    <n v="2"/>
    <n v="2"/>
    <n v="2"/>
  </r>
  <r>
    <n v="32"/>
    <x v="0"/>
    <n v="1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x v="0"/>
    <n v="2"/>
    <n v="80"/>
    <x v="0"/>
    <n v="10"/>
    <x v="2"/>
    <n v="3"/>
    <n v="0"/>
    <n v="0"/>
    <n v="0"/>
    <n v="0"/>
  </r>
  <r>
    <n v="23"/>
    <x v="1"/>
    <n v="0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x v="0"/>
    <n v="3"/>
    <n v="80"/>
    <x v="0"/>
    <n v="3"/>
    <x v="1"/>
    <n v="1"/>
    <n v="3"/>
    <n v="2"/>
    <n v="1"/>
    <n v="2"/>
  </r>
  <r>
    <n v="31"/>
    <x v="1"/>
    <n v="0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x v="1"/>
    <n v="4"/>
    <n v="80"/>
    <x v="0"/>
    <n v="9"/>
    <x v="1"/>
    <n v="2"/>
    <n v="5"/>
    <n v="4"/>
    <n v="1"/>
    <n v="4"/>
  </r>
  <r>
    <n v="39"/>
    <x v="1"/>
    <n v="0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x v="0"/>
    <n v="4"/>
    <n v="80"/>
    <x v="1"/>
    <n v="9"/>
    <x v="2"/>
    <n v="3"/>
    <n v="9"/>
    <n v="8"/>
    <n v="5"/>
    <n v="8"/>
  </r>
  <r>
    <n v="32"/>
    <x v="1"/>
    <n v="0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x v="0"/>
    <n v="3"/>
    <n v="80"/>
    <x v="1"/>
    <n v="10"/>
    <x v="2"/>
    <n v="1"/>
    <n v="4"/>
    <n v="3"/>
    <n v="0"/>
    <n v="2"/>
  </r>
  <r>
    <n v="40"/>
    <x v="1"/>
    <n v="0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x v="0"/>
    <n v="2"/>
    <n v="80"/>
    <x v="0"/>
    <n v="21"/>
    <x v="1"/>
    <n v="2"/>
    <n v="21"/>
    <n v="8"/>
    <n v="12"/>
    <n v="8"/>
  </r>
  <r>
    <n v="45"/>
    <x v="1"/>
    <n v="0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x v="1"/>
    <n v="3"/>
    <n v="80"/>
    <x v="3"/>
    <n v="9"/>
    <x v="2"/>
    <n v="4"/>
    <n v="5"/>
    <n v="0"/>
    <n v="0"/>
    <n v="3"/>
  </r>
  <r>
    <n v="30"/>
    <x v="1"/>
    <n v="0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x v="0"/>
    <n v="4"/>
    <n v="80"/>
    <x v="0"/>
    <n v="10"/>
    <x v="2"/>
    <n v="3"/>
    <n v="9"/>
    <n v="7"/>
    <n v="0"/>
    <n v="7"/>
  </r>
  <r>
    <n v="24"/>
    <x v="1"/>
    <n v="0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x v="0"/>
    <n v="4"/>
    <n v="80"/>
    <x v="1"/>
    <n v="3"/>
    <x v="2"/>
    <n v="3"/>
    <n v="2"/>
    <n v="2"/>
    <n v="2"/>
    <n v="1"/>
  </r>
  <r>
    <n v="30"/>
    <x v="0"/>
    <n v="1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x v="0"/>
    <n v="3"/>
    <n v="80"/>
    <x v="1"/>
    <n v="6"/>
    <x v="0"/>
    <n v="2"/>
    <n v="4"/>
    <n v="2"/>
    <n v="1"/>
    <n v="2"/>
  </r>
  <r>
    <n v="31"/>
    <x v="1"/>
    <n v="0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x v="0"/>
    <n v="3"/>
    <n v="80"/>
    <x v="1"/>
    <n v="6"/>
    <x v="1"/>
    <n v="3"/>
    <n v="5"/>
    <n v="2"/>
    <n v="0"/>
    <n v="2"/>
  </r>
  <r>
    <n v="27"/>
    <x v="1"/>
    <n v="0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x v="0"/>
    <n v="3"/>
    <n v="80"/>
    <x v="0"/>
    <n v="6"/>
    <x v="3"/>
    <n v="2"/>
    <n v="6"/>
    <n v="2"/>
    <n v="1"/>
    <n v="4"/>
  </r>
  <r>
    <n v="29"/>
    <x v="0"/>
    <n v="1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x v="0"/>
    <n v="3"/>
    <n v="80"/>
    <x v="0"/>
    <n v="2"/>
    <x v="1"/>
    <n v="3"/>
    <n v="2"/>
    <n v="2"/>
    <n v="2"/>
    <n v="2"/>
  </r>
  <r>
    <n v="29"/>
    <x v="1"/>
    <n v="0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x v="0"/>
    <n v="4"/>
    <n v="80"/>
    <x v="0"/>
    <n v="10"/>
    <x v="3"/>
    <n v="4"/>
    <n v="3"/>
    <n v="2"/>
    <n v="0"/>
    <n v="2"/>
  </r>
  <r>
    <n v="30"/>
    <x v="1"/>
    <n v="0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x v="0"/>
    <n v="1"/>
    <n v="80"/>
    <x v="1"/>
    <n v="12"/>
    <x v="2"/>
    <n v="3"/>
    <n v="7"/>
    <n v="7"/>
    <n v="1"/>
    <n v="7"/>
  </r>
  <r>
    <n v="34"/>
    <x v="1"/>
    <n v="0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x v="0"/>
    <n v="1"/>
    <n v="80"/>
    <x v="2"/>
    <n v="6"/>
    <x v="1"/>
    <n v="3"/>
    <n v="5"/>
    <n v="0"/>
    <n v="1"/>
    <n v="2"/>
  </r>
  <r>
    <n v="33"/>
    <x v="1"/>
    <n v="0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x v="0"/>
    <n v="4"/>
    <n v="80"/>
    <x v="0"/>
    <n v="13"/>
    <x v="2"/>
    <n v="2"/>
    <n v="11"/>
    <n v="7"/>
    <n v="1"/>
    <n v="7"/>
  </r>
  <r>
    <n v="49"/>
    <x v="1"/>
    <n v="0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x v="0"/>
    <n v="3"/>
    <n v="80"/>
    <x v="0"/>
    <n v="8"/>
    <x v="4"/>
    <n v="4"/>
    <n v="5"/>
    <n v="1"/>
    <n v="0"/>
    <n v="4"/>
  </r>
  <r>
    <n v="33"/>
    <x v="0"/>
    <n v="1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x v="1"/>
    <n v="3"/>
    <n v="80"/>
    <x v="0"/>
    <n v="11"/>
    <x v="2"/>
    <n v="2"/>
    <n v="0"/>
    <n v="0"/>
    <n v="0"/>
    <n v="0"/>
  </r>
  <r>
    <n v="38"/>
    <x v="1"/>
    <n v="0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x v="0"/>
    <n v="2"/>
    <n v="80"/>
    <x v="1"/>
    <n v="9"/>
    <x v="5"/>
    <n v="2"/>
    <n v="6"/>
    <n v="1"/>
    <n v="0"/>
    <n v="5"/>
  </r>
  <r>
    <n v="31"/>
    <x v="0"/>
    <n v="1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x v="0"/>
    <n v="1"/>
    <n v="80"/>
    <x v="2"/>
    <n v="10"/>
    <x v="2"/>
    <n v="3"/>
    <n v="1"/>
    <n v="0"/>
    <n v="0"/>
    <n v="0"/>
  </r>
  <r>
    <n v="29"/>
    <x v="1"/>
    <n v="0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x v="0"/>
    <n v="3"/>
    <n v="80"/>
    <x v="1"/>
    <n v="1"/>
    <x v="2"/>
    <n v="3"/>
    <n v="1"/>
    <n v="0"/>
    <n v="0"/>
    <n v="0"/>
  </r>
  <r>
    <n v="30"/>
    <x v="1"/>
    <n v="0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x v="0"/>
    <n v="3"/>
    <n v="80"/>
    <x v="1"/>
    <n v="10"/>
    <x v="1"/>
    <n v="3"/>
    <n v="7"/>
    <n v="0"/>
    <n v="1"/>
    <n v="7"/>
  </r>
  <r>
    <n v="32"/>
    <x v="1"/>
    <n v="0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x v="0"/>
    <n v="2"/>
    <n v="80"/>
    <x v="0"/>
    <n v="12"/>
    <x v="1"/>
    <n v="3"/>
    <n v="7"/>
    <n v="7"/>
    <n v="0"/>
    <n v="7"/>
  </r>
  <r>
    <n v="38"/>
    <x v="1"/>
    <n v="0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x v="0"/>
    <n v="3"/>
    <n v="80"/>
    <x v="1"/>
    <n v="15"/>
    <x v="2"/>
    <n v="3"/>
    <n v="1"/>
    <n v="0"/>
    <n v="1"/>
    <n v="0"/>
  </r>
  <r>
    <n v="43"/>
    <x v="0"/>
    <n v="1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x v="0"/>
    <n v="4"/>
    <n v="80"/>
    <x v="1"/>
    <n v="6"/>
    <x v="5"/>
    <n v="3"/>
    <n v="1"/>
    <n v="0"/>
    <n v="0"/>
    <n v="0"/>
  </r>
  <r>
    <n v="42"/>
    <x v="1"/>
    <n v="0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x v="1"/>
    <n v="2"/>
    <n v="80"/>
    <x v="2"/>
    <n v="7"/>
    <x v="6"/>
    <n v="2"/>
    <n v="5"/>
    <n v="3"/>
    <n v="0"/>
    <n v="4"/>
  </r>
  <r>
    <n v="55"/>
    <x v="1"/>
    <n v="0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x v="0"/>
    <n v="2"/>
    <n v="80"/>
    <x v="2"/>
    <n v="34"/>
    <x v="2"/>
    <n v="3"/>
    <n v="1"/>
    <n v="0"/>
    <n v="0"/>
    <n v="0"/>
  </r>
  <r>
    <n v="33"/>
    <x v="1"/>
    <n v="0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x v="0"/>
    <n v="4"/>
    <n v="80"/>
    <x v="3"/>
    <n v="11"/>
    <x v="2"/>
    <n v="2"/>
    <n v="9"/>
    <n v="8"/>
    <n v="1"/>
    <n v="7"/>
  </r>
  <r>
    <n v="41"/>
    <x v="1"/>
    <n v="0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x v="1"/>
    <n v="2"/>
    <n v="80"/>
    <x v="3"/>
    <n v="5"/>
    <x v="2"/>
    <n v="3"/>
    <n v="5"/>
    <n v="3"/>
    <n v="0"/>
    <n v="4"/>
  </r>
  <r>
    <n v="34"/>
    <x v="1"/>
    <n v="0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x v="0"/>
    <n v="3"/>
    <n v="80"/>
    <x v="1"/>
    <n v="15"/>
    <x v="1"/>
    <n v="3"/>
    <n v="15"/>
    <n v="14"/>
    <n v="0"/>
    <n v="7"/>
  </r>
  <r>
    <n v="53"/>
    <x v="1"/>
    <n v="0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x v="1"/>
    <n v="4"/>
    <n v="80"/>
    <x v="2"/>
    <n v="27"/>
    <x v="2"/>
    <n v="2"/>
    <n v="3"/>
    <n v="2"/>
    <n v="0"/>
    <n v="2"/>
  </r>
  <r>
    <n v="43"/>
    <x v="1"/>
    <n v="0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x v="0"/>
    <n v="2"/>
    <n v="80"/>
    <x v="0"/>
    <n v="10"/>
    <x v="3"/>
    <n v="3"/>
    <n v="9"/>
    <n v="7"/>
    <n v="1"/>
    <n v="8"/>
  </r>
  <r>
    <n v="34"/>
    <x v="1"/>
    <n v="0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x v="0"/>
    <n v="1"/>
    <n v="80"/>
    <x v="0"/>
    <n v="6"/>
    <x v="1"/>
    <n v="3"/>
    <n v="2"/>
    <n v="2"/>
    <n v="2"/>
    <n v="2"/>
  </r>
  <r>
    <n v="21"/>
    <x v="0"/>
    <n v="1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x v="0"/>
    <n v="2"/>
    <n v="80"/>
    <x v="0"/>
    <n v="1"/>
    <x v="1"/>
    <n v="3"/>
    <n v="1"/>
    <n v="0"/>
    <n v="1"/>
    <n v="0"/>
  </r>
  <r>
    <n v="38"/>
    <x v="1"/>
    <n v="0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x v="0"/>
    <n v="2"/>
    <n v="80"/>
    <x v="1"/>
    <n v="5"/>
    <x v="1"/>
    <n v="3"/>
    <n v="5"/>
    <n v="4"/>
    <n v="0"/>
    <n v="4"/>
  </r>
  <r>
    <n v="22"/>
    <x v="0"/>
    <n v="1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x v="0"/>
    <n v="3"/>
    <n v="80"/>
    <x v="0"/>
    <n v="1"/>
    <x v="6"/>
    <n v="3"/>
    <n v="1"/>
    <n v="0"/>
    <n v="0"/>
    <n v="0"/>
  </r>
  <r>
    <n v="31"/>
    <x v="1"/>
    <n v="0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x v="0"/>
    <n v="1"/>
    <n v="80"/>
    <x v="3"/>
    <n v="13"/>
    <x v="1"/>
    <n v="3"/>
    <n v="12"/>
    <n v="7"/>
    <n v="5"/>
    <n v="7"/>
  </r>
  <r>
    <n v="51"/>
    <x v="1"/>
    <n v="0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x v="0"/>
    <n v="4"/>
    <n v="80"/>
    <x v="0"/>
    <n v="15"/>
    <x v="2"/>
    <n v="3"/>
    <n v="2"/>
    <n v="2"/>
    <n v="2"/>
    <n v="2"/>
  </r>
  <r>
    <n v="37"/>
    <x v="1"/>
    <n v="0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x v="0"/>
    <n v="1"/>
    <n v="80"/>
    <x v="3"/>
    <n v="5"/>
    <x v="2"/>
    <n v="3"/>
    <n v="5"/>
    <n v="2"/>
    <n v="0"/>
    <n v="3"/>
  </r>
  <r>
    <n v="46"/>
    <x v="1"/>
    <n v="0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x v="0"/>
    <n v="3"/>
    <n v="80"/>
    <x v="1"/>
    <n v="24"/>
    <x v="1"/>
    <n v="3"/>
    <n v="2"/>
    <n v="1"/>
    <n v="2"/>
    <n v="2"/>
  </r>
  <r>
    <n v="36"/>
    <x v="1"/>
    <n v="0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x v="0"/>
    <n v="4"/>
    <n v="80"/>
    <x v="1"/>
    <n v="15"/>
    <x v="4"/>
    <n v="3"/>
    <n v="12"/>
    <n v="8"/>
    <n v="5"/>
    <n v="7"/>
  </r>
  <r>
    <n v="44"/>
    <x v="0"/>
    <n v="1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x v="0"/>
    <n v="3"/>
    <n v="80"/>
    <x v="2"/>
    <n v="6"/>
    <x v="2"/>
    <n v="2"/>
    <n v="5"/>
    <n v="3"/>
    <n v="2"/>
    <n v="3"/>
  </r>
  <r>
    <n v="37"/>
    <x v="1"/>
    <n v="0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x v="0"/>
    <n v="3"/>
    <n v="80"/>
    <x v="0"/>
    <n v="19"/>
    <x v="5"/>
    <n v="2"/>
    <n v="10"/>
    <n v="0"/>
    <n v="4"/>
    <n v="7"/>
  </r>
  <r>
    <n v="35"/>
    <x v="0"/>
    <n v="1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x v="0"/>
    <n v="4"/>
    <n v="80"/>
    <x v="0"/>
    <n v="10"/>
    <x v="2"/>
    <n v="3"/>
    <n v="10"/>
    <n v="7"/>
    <n v="7"/>
    <n v="7"/>
  </r>
  <r>
    <n v="33"/>
    <x v="1"/>
    <n v="0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x v="0"/>
    <n v="2"/>
    <n v="80"/>
    <x v="1"/>
    <n v="14"/>
    <x v="4"/>
    <n v="3"/>
    <n v="10"/>
    <n v="8"/>
    <n v="7"/>
    <n v="6"/>
  </r>
  <r>
    <n v="28"/>
    <x v="1"/>
    <n v="0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x v="0"/>
    <n v="3"/>
    <n v="80"/>
    <x v="1"/>
    <n v="5"/>
    <x v="6"/>
    <n v="4"/>
    <n v="5"/>
    <n v="3"/>
    <n v="0"/>
    <n v="3"/>
  </r>
  <r>
    <n v="39"/>
    <x v="1"/>
    <n v="0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x v="1"/>
    <n v="3"/>
    <n v="80"/>
    <x v="0"/>
    <n v="9"/>
    <x v="1"/>
    <n v="3"/>
    <n v="4"/>
    <n v="3"/>
    <n v="2"/>
    <n v="2"/>
  </r>
  <r>
    <n v="46"/>
    <x v="1"/>
    <n v="0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x v="0"/>
    <n v="3"/>
    <n v="80"/>
    <x v="0"/>
    <n v="6"/>
    <x v="1"/>
    <n v="3"/>
    <n v="2"/>
    <n v="2"/>
    <n v="2"/>
    <n v="2"/>
  </r>
  <r>
    <n v="40"/>
    <x v="1"/>
    <n v="0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x v="0"/>
    <n v="4"/>
    <n v="80"/>
    <x v="1"/>
    <n v="7"/>
    <x v="3"/>
    <n v="2"/>
    <n v="4"/>
    <n v="3"/>
    <n v="0"/>
    <n v="2"/>
  </r>
  <r>
    <n v="42"/>
    <x v="1"/>
    <n v="0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x v="0"/>
    <n v="3"/>
    <n v="80"/>
    <x v="3"/>
    <n v="10"/>
    <x v="2"/>
    <n v="2"/>
    <n v="0"/>
    <n v="0"/>
    <n v="0"/>
    <n v="0"/>
  </r>
  <r>
    <n v="35"/>
    <x v="1"/>
    <n v="0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x v="0"/>
    <n v="3"/>
    <n v="80"/>
    <x v="1"/>
    <n v="15"/>
    <x v="6"/>
    <n v="3"/>
    <n v="7"/>
    <n v="7"/>
    <n v="1"/>
    <n v="7"/>
  </r>
  <r>
    <n v="38"/>
    <x v="1"/>
    <n v="0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x v="0"/>
    <n v="4"/>
    <n v="80"/>
    <x v="2"/>
    <n v="13"/>
    <x v="1"/>
    <n v="3"/>
    <n v="11"/>
    <n v="10"/>
    <n v="3"/>
    <n v="8"/>
  </r>
  <r>
    <n v="34"/>
    <x v="0"/>
    <n v="1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x v="0"/>
    <n v="3"/>
    <n v="80"/>
    <x v="1"/>
    <n v="11"/>
    <x v="1"/>
    <n v="2"/>
    <n v="7"/>
    <n v="1"/>
    <n v="0"/>
    <n v="7"/>
  </r>
  <r>
    <n v="37"/>
    <x v="0"/>
    <n v="1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x v="0"/>
    <n v="2"/>
    <n v="80"/>
    <x v="0"/>
    <n v="10"/>
    <x v="5"/>
    <n v="1"/>
    <n v="10"/>
    <n v="3"/>
    <n v="0"/>
    <n v="8"/>
  </r>
  <r>
    <n v="39"/>
    <x v="1"/>
    <n v="0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x v="0"/>
    <n v="4"/>
    <n v="80"/>
    <x v="1"/>
    <n v="7"/>
    <x v="6"/>
    <n v="3"/>
    <n v="2"/>
    <n v="1"/>
    <n v="2"/>
    <n v="2"/>
  </r>
  <r>
    <n v="43"/>
    <x v="1"/>
    <n v="0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x v="0"/>
    <n v="3"/>
    <n v="80"/>
    <x v="0"/>
    <n v="7"/>
    <x v="2"/>
    <n v="2"/>
    <n v="3"/>
    <n v="2"/>
    <n v="1"/>
    <n v="2"/>
  </r>
  <r>
    <n v="41"/>
    <x v="1"/>
    <n v="0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x v="0"/>
    <n v="1"/>
    <n v="80"/>
    <x v="0"/>
    <n v="11"/>
    <x v="1"/>
    <n v="1"/>
    <n v="3"/>
    <n v="2"/>
    <n v="1"/>
    <n v="2"/>
  </r>
  <r>
    <n v="41"/>
    <x v="1"/>
    <n v="0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x v="0"/>
    <n v="4"/>
    <n v="80"/>
    <x v="1"/>
    <n v="23"/>
    <x v="1"/>
    <n v="4"/>
    <n v="22"/>
    <n v="14"/>
    <n v="13"/>
    <n v="5"/>
  </r>
  <r>
    <n v="30"/>
    <x v="1"/>
    <n v="0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x v="0"/>
    <n v="2"/>
    <n v="80"/>
    <x v="0"/>
    <n v="9"/>
    <x v="1"/>
    <n v="3"/>
    <n v="7"/>
    <n v="7"/>
    <n v="0"/>
    <n v="2"/>
  </r>
  <r>
    <n v="26"/>
    <x v="0"/>
    <n v="1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x v="0"/>
    <n v="3"/>
    <n v="80"/>
    <x v="0"/>
    <n v="6"/>
    <x v="1"/>
    <n v="3"/>
    <n v="5"/>
    <n v="1"/>
    <n v="1"/>
    <n v="4"/>
  </r>
  <r>
    <n v="46"/>
    <x v="0"/>
    <n v="1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x v="1"/>
    <n v="4"/>
    <n v="80"/>
    <x v="1"/>
    <n v="13"/>
    <x v="2"/>
    <n v="4"/>
    <n v="9"/>
    <n v="7"/>
    <n v="3"/>
    <n v="7"/>
  </r>
  <r>
    <n v="40"/>
    <x v="1"/>
    <n v="0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x v="0"/>
    <n v="4"/>
    <n v="80"/>
    <x v="1"/>
    <n v="12"/>
    <x v="1"/>
    <n v="3"/>
    <n v="5"/>
    <n v="3"/>
    <n v="0"/>
    <n v="3"/>
  </r>
  <r>
    <n v="34"/>
    <x v="1"/>
    <n v="0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x v="1"/>
    <n v="3"/>
    <n v="80"/>
    <x v="3"/>
    <n v="10"/>
    <x v="3"/>
    <n v="3"/>
    <n v="10"/>
    <n v="8"/>
    <n v="4"/>
    <n v="8"/>
  </r>
  <r>
    <n v="58"/>
    <x v="1"/>
    <n v="0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x v="1"/>
    <n v="4"/>
    <n v="80"/>
    <x v="1"/>
    <n v="37"/>
    <x v="0"/>
    <n v="2"/>
    <n v="16"/>
    <n v="9"/>
    <n v="14"/>
    <n v="14"/>
  </r>
  <r>
    <n v="35"/>
    <x v="1"/>
    <n v="0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x v="0"/>
    <n v="2"/>
    <n v="80"/>
    <x v="1"/>
    <n v="6"/>
    <x v="2"/>
    <n v="4"/>
    <n v="5"/>
    <n v="4"/>
    <n v="0"/>
    <n v="3"/>
  </r>
  <r>
    <n v="47"/>
    <x v="1"/>
    <n v="0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x v="0"/>
    <n v="3"/>
    <n v="80"/>
    <x v="1"/>
    <n v="28"/>
    <x v="5"/>
    <n v="3"/>
    <n v="22"/>
    <n v="11"/>
    <n v="14"/>
    <n v="10"/>
  </r>
  <r>
    <n v="40"/>
    <x v="1"/>
    <n v="0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x v="0"/>
    <n v="2"/>
    <n v="80"/>
    <x v="1"/>
    <n v="15"/>
    <x v="1"/>
    <n v="3"/>
    <n v="7"/>
    <n v="4"/>
    <n v="7"/>
    <n v="7"/>
  </r>
  <r>
    <n v="54"/>
    <x v="1"/>
    <n v="0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x v="0"/>
    <n v="2"/>
    <n v="80"/>
    <x v="1"/>
    <n v="14"/>
    <x v="2"/>
    <n v="2"/>
    <n v="7"/>
    <n v="1"/>
    <n v="1"/>
    <n v="7"/>
  </r>
  <r>
    <n v="31"/>
    <x v="1"/>
    <n v="0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x v="0"/>
    <n v="4"/>
    <n v="80"/>
    <x v="3"/>
    <n v="9"/>
    <x v="1"/>
    <n v="3"/>
    <n v="3"/>
    <n v="2"/>
    <n v="2"/>
    <n v="2"/>
  </r>
  <r>
    <n v="28"/>
    <x v="1"/>
    <n v="0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x v="1"/>
    <n v="3"/>
    <n v="80"/>
    <x v="1"/>
    <n v="3"/>
    <x v="1"/>
    <n v="3"/>
    <n v="3"/>
    <n v="2"/>
    <n v="1"/>
    <n v="2"/>
  </r>
  <r>
    <n v="38"/>
    <x v="1"/>
    <n v="0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x v="1"/>
    <n v="1"/>
    <n v="80"/>
    <x v="3"/>
    <n v="20"/>
    <x v="5"/>
    <n v="2"/>
    <n v="4"/>
    <n v="2"/>
    <n v="0"/>
    <n v="3"/>
  </r>
  <r>
    <n v="26"/>
    <x v="1"/>
    <n v="0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x v="0"/>
    <n v="1"/>
    <n v="80"/>
    <x v="0"/>
    <n v="5"/>
    <x v="5"/>
    <n v="3"/>
    <n v="5"/>
    <n v="3"/>
    <n v="1"/>
    <n v="2"/>
  </r>
  <r>
    <n v="58"/>
    <x v="1"/>
    <n v="0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x v="0"/>
    <n v="2"/>
    <n v="80"/>
    <x v="0"/>
    <n v="23"/>
    <x v="1"/>
    <n v="3"/>
    <n v="2"/>
    <n v="2"/>
    <n v="2"/>
    <n v="2"/>
  </r>
  <r>
    <n v="18"/>
    <x v="1"/>
    <n v="0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x v="0"/>
    <n v="3"/>
    <n v="80"/>
    <x v="0"/>
    <n v="0"/>
    <x v="5"/>
    <n v="1"/>
    <n v="0"/>
    <n v="0"/>
    <n v="0"/>
    <n v="0"/>
  </r>
  <r>
    <n v="31"/>
    <x v="0"/>
    <n v="1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x v="0"/>
    <n v="3"/>
    <n v="80"/>
    <x v="0"/>
    <n v="2"/>
    <x v="5"/>
    <n v="3"/>
    <n v="1"/>
    <n v="0"/>
    <n v="0"/>
    <n v="0"/>
  </r>
  <r>
    <n v="29"/>
    <x v="0"/>
    <n v="1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x v="0"/>
    <n v="4"/>
    <n v="80"/>
    <x v="2"/>
    <n v="4"/>
    <x v="1"/>
    <n v="3"/>
    <n v="2"/>
    <n v="2"/>
    <n v="2"/>
    <n v="0"/>
  </r>
  <r>
    <n v="45"/>
    <x v="1"/>
    <n v="0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x v="1"/>
    <n v="2"/>
    <n v="80"/>
    <x v="3"/>
    <n v="10"/>
    <x v="1"/>
    <n v="4"/>
    <n v="8"/>
    <n v="7"/>
    <n v="5"/>
    <n v="7"/>
  </r>
  <r>
    <n v="36"/>
    <x v="1"/>
    <n v="0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x v="1"/>
    <n v="4"/>
    <n v="80"/>
    <x v="1"/>
    <n v="15"/>
    <x v="2"/>
    <n v="3"/>
    <n v="1"/>
    <n v="0"/>
    <n v="0"/>
    <n v="0"/>
  </r>
  <r>
    <n v="43"/>
    <x v="1"/>
    <n v="0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x v="1"/>
    <n v="3"/>
    <n v="80"/>
    <x v="1"/>
    <n v="7"/>
    <x v="3"/>
    <n v="3"/>
    <n v="7"/>
    <n v="7"/>
    <n v="7"/>
    <n v="7"/>
  </r>
  <r>
    <n v="27"/>
    <x v="1"/>
    <n v="0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x v="0"/>
    <n v="3"/>
    <n v="80"/>
    <x v="0"/>
    <n v="6"/>
    <x v="1"/>
    <n v="2"/>
    <n v="5"/>
    <n v="4"/>
    <n v="0"/>
    <n v="2"/>
  </r>
  <r>
    <n v="29"/>
    <x v="1"/>
    <n v="0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x v="0"/>
    <n v="2"/>
    <n v="80"/>
    <x v="0"/>
    <n v="11"/>
    <x v="1"/>
    <n v="4"/>
    <n v="11"/>
    <n v="8"/>
    <n v="3"/>
    <n v="10"/>
  </r>
  <r>
    <n v="32"/>
    <x v="1"/>
    <n v="0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x v="0"/>
    <n v="3"/>
    <n v="80"/>
    <x v="0"/>
    <n v="4"/>
    <x v="2"/>
    <n v="4"/>
    <n v="0"/>
    <n v="0"/>
    <n v="0"/>
    <n v="0"/>
  </r>
  <r>
    <n v="42"/>
    <x v="1"/>
    <n v="0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x v="1"/>
    <n v="2"/>
    <n v="80"/>
    <x v="3"/>
    <n v="10"/>
    <x v="4"/>
    <n v="2"/>
    <n v="6"/>
    <n v="3"/>
    <n v="3"/>
    <n v="3"/>
  </r>
  <r>
    <n v="47"/>
    <x v="1"/>
    <n v="0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x v="0"/>
    <n v="3"/>
    <n v="80"/>
    <x v="0"/>
    <n v="7"/>
    <x v="2"/>
    <n v="3"/>
    <n v="2"/>
    <n v="2"/>
    <n v="2"/>
    <n v="0"/>
  </r>
  <r>
    <n v="46"/>
    <x v="1"/>
    <n v="0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x v="0"/>
    <n v="3"/>
    <n v="80"/>
    <x v="1"/>
    <n v="12"/>
    <x v="5"/>
    <n v="2"/>
    <n v="9"/>
    <n v="8"/>
    <n v="4"/>
    <n v="7"/>
  </r>
  <r>
    <n v="28"/>
    <x v="1"/>
    <n v="0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x v="0"/>
    <n v="2"/>
    <n v="80"/>
    <x v="1"/>
    <n v="3"/>
    <x v="2"/>
    <n v="3"/>
    <n v="3"/>
    <n v="2"/>
    <n v="2"/>
    <n v="2"/>
  </r>
  <r>
    <n v="29"/>
    <x v="1"/>
    <n v="0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x v="0"/>
    <n v="4"/>
    <n v="80"/>
    <x v="3"/>
    <n v="11"/>
    <x v="1"/>
    <n v="3"/>
    <n v="7"/>
    <n v="0"/>
    <n v="1"/>
    <n v="6"/>
  </r>
  <r>
    <n v="42"/>
    <x v="1"/>
    <n v="0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x v="0"/>
    <n v="4"/>
    <n v="80"/>
    <x v="0"/>
    <n v="8"/>
    <x v="1"/>
    <n v="3"/>
    <n v="0"/>
    <n v="0"/>
    <n v="0"/>
    <n v="0"/>
  </r>
  <r>
    <n v="32"/>
    <x v="0"/>
    <n v="1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x v="0"/>
    <n v="3"/>
    <n v="80"/>
    <x v="0"/>
    <n v="7"/>
    <x v="1"/>
    <n v="2"/>
    <n v="2"/>
    <n v="2"/>
    <n v="2"/>
    <n v="2"/>
  </r>
  <r>
    <n v="46"/>
    <x v="1"/>
    <n v="0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x v="0"/>
    <n v="4"/>
    <n v="80"/>
    <x v="1"/>
    <n v="25"/>
    <x v="3"/>
    <n v="3"/>
    <n v="19"/>
    <n v="17"/>
    <n v="2"/>
    <n v="8"/>
  </r>
  <r>
    <n v="27"/>
    <x v="1"/>
    <n v="0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x v="1"/>
    <n v="4"/>
    <n v="80"/>
    <x v="1"/>
    <n v="9"/>
    <x v="3"/>
    <n v="3"/>
    <n v="9"/>
    <n v="8"/>
    <n v="5"/>
    <n v="8"/>
  </r>
  <r>
    <n v="29"/>
    <x v="1"/>
    <n v="0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x v="0"/>
    <n v="4"/>
    <n v="80"/>
    <x v="0"/>
    <n v="1"/>
    <x v="1"/>
    <n v="3"/>
    <n v="1"/>
    <n v="0"/>
    <n v="0"/>
    <n v="0"/>
  </r>
  <r>
    <n v="43"/>
    <x v="1"/>
    <n v="0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x v="0"/>
    <n v="4"/>
    <n v="80"/>
    <x v="0"/>
    <n v="21"/>
    <x v="2"/>
    <n v="3"/>
    <n v="16"/>
    <n v="12"/>
    <n v="6"/>
    <n v="14"/>
  </r>
  <r>
    <n v="48"/>
    <x v="1"/>
    <n v="0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x v="0"/>
    <n v="4"/>
    <n v="80"/>
    <x v="0"/>
    <n v="29"/>
    <x v="1"/>
    <n v="3"/>
    <n v="22"/>
    <n v="10"/>
    <n v="12"/>
    <n v="9"/>
  </r>
  <r>
    <n v="29"/>
    <x v="0"/>
    <n v="1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x v="1"/>
    <n v="2"/>
    <n v="80"/>
    <x v="0"/>
    <n v="1"/>
    <x v="1"/>
    <n v="2"/>
    <n v="1"/>
    <n v="0"/>
    <n v="1"/>
    <n v="0"/>
  </r>
  <r>
    <n v="46"/>
    <x v="0"/>
    <n v="1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x v="1"/>
    <n v="3"/>
    <n v="80"/>
    <x v="2"/>
    <n v="14"/>
    <x v="2"/>
    <n v="3"/>
    <n v="8"/>
    <n v="7"/>
    <n v="0"/>
    <n v="7"/>
  </r>
  <r>
    <n v="27"/>
    <x v="1"/>
    <n v="0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x v="0"/>
    <n v="4"/>
    <n v="80"/>
    <x v="1"/>
    <n v="8"/>
    <x v="2"/>
    <n v="2"/>
    <n v="7"/>
    <n v="6"/>
    <n v="7"/>
    <n v="3"/>
  </r>
  <r>
    <n v="39"/>
    <x v="1"/>
    <n v="0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x v="0"/>
    <n v="2"/>
    <n v="80"/>
    <x v="2"/>
    <n v="7"/>
    <x v="2"/>
    <n v="3"/>
    <n v="2"/>
    <n v="2"/>
    <n v="2"/>
    <n v="2"/>
  </r>
  <r>
    <n v="55"/>
    <x v="1"/>
    <n v="0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x v="1"/>
    <n v="2"/>
    <n v="80"/>
    <x v="1"/>
    <n v="19"/>
    <x v="2"/>
    <n v="4"/>
    <n v="5"/>
    <n v="2"/>
    <n v="0"/>
    <n v="4"/>
  </r>
  <r>
    <n v="28"/>
    <x v="1"/>
    <n v="0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x v="0"/>
    <n v="4"/>
    <n v="80"/>
    <x v="1"/>
    <n v="1"/>
    <x v="1"/>
    <n v="3"/>
    <n v="1"/>
    <n v="0"/>
    <n v="0"/>
    <n v="0"/>
  </r>
  <r>
    <n v="30"/>
    <x v="0"/>
    <n v="1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x v="0"/>
    <n v="3"/>
    <n v="80"/>
    <x v="0"/>
    <n v="1"/>
    <x v="1"/>
    <n v="2"/>
    <n v="1"/>
    <n v="0"/>
    <n v="0"/>
    <n v="0"/>
  </r>
  <r>
    <n v="22"/>
    <x v="0"/>
    <n v="1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x v="1"/>
    <n v="1"/>
    <n v="80"/>
    <x v="0"/>
    <n v="1"/>
    <x v="2"/>
    <n v="3"/>
    <n v="1"/>
    <n v="0"/>
    <n v="0"/>
    <n v="0"/>
  </r>
  <r>
    <n v="36"/>
    <x v="1"/>
    <n v="0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x v="0"/>
    <n v="1"/>
    <n v="80"/>
    <x v="1"/>
    <n v="10"/>
    <x v="5"/>
    <n v="3"/>
    <n v="10"/>
    <n v="9"/>
    <n v="1"/>
    <n v="7"/>
  </r>
  <r>
    <n v="31"/>
    <x v="1"/>
    <n v="0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x v="0"/>
    <n v="1"/>
    <n v="80"/>
    <x v="1"/>
    <n v="10"/>
    <x v="2"/>
    <n v="3"/>
    <n v="10"/>
    <n v="8"/>
    <n v="0"/>
    <n v="2"/>
  </r>
  <r>
    <n v="34"/>
    <x v="1"/>
    <n v="0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x v="0"/>
    <n v="4"/>
    <n v="80"/>
    <x v="2"/>
    <n v="9"/>
    <x v="1"/>
    <n v="3"/>
    <n v="5"/>
    <n v="3"/>
    <n v="1"/>
    <n v="0"/>
  </r>
  <r>
    <n v="29"/>
    <x v="1"/>
    <n v="0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x v="0"/>
    <n v="2"/>
    <n v="80"/>
    <x v="0"/>
    <n v="11"/>
    <x v="2"/>
    <n v="3"/>
    <n v="3"/>
    <n v="2"/>
    <n v="1"/>
    <n v="2"/>
  </r>
  <r>
    <n v="37"/>
    <x v="1"/>
    <n v="0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x v="1"/>
    <n v="3"/>
    <n v="80"/>
    <x v="1"/>
    <n v="16"/>
    <x v="2"/>
    <n v="3"/>
    <n v="5"/>
    <n v="3"/>
    <n v="0"/>
    <n v="4"/>
  </r>
  <r>
    <n v="35"/>
    <x v="1"/>
    <n v="0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x v="0"/>
    <n v="4"/>
    <n v="80"/>
    <x v="0"/>
    <n v="4"/>
    <x v="2"/>
    <n v="3"/>
    <n v="3"/>
    <n v="2"/>
    <n v="0"/>
    <n v="2"/>
  </r>
  <r>
    <n v="45"/>
    <x v="1"/>
    <n v="0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x v="0"/>
    <n v="4"/>
    <n v="80"/>
    <x v="3"/>
    <n v="10"/>
    <x v="2"/>
    <n v="2"/>
    <n v="9"/>
    <n v="8"/>
    <n v="3"/>
    <n v="8"/>
  </r>
  <r>
    <n v="36"/>
    <x v="1"/>
    <n v="0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x v="1"/>
    <n v="4"/>
    <n v="80"/>
    <x v="0"/>
    <n v="10"/>
    <x v="2"/>
    <n v="2"/>
    <n v="10"/>
    <n v="1"/>
    <n v="0"/>
    <n v="8"/>
  </r>
  <r>
    <n v="40"/>
    <x v="1"/>
    <n v="0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x v="0"/>
    <n v="1"/>
    <n v="80"/>
    <x v="1"/>
    <n v="22"/>
    <x v="1"/>
    <n v="3"/>
    <n v="19"/>
    <n v="7"/>
    <n v="11"/>
    <n v="16"/>
  </r>
  <r>
    <n v="26"/>
    <x v="1"/>
    <n v="0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x v="0"/>
    <n v="3"/>
    <n v="80"/>
    <x v="1"/>
    <n v="1"/>
    <x v="1"/>
    <n v="2"/>
    <n v="1"/>
    <n v="0"/>
    <n v="1"/>
    <n v="0"/>
  </r>
  <r>
    <n v="27"/>
    <x v="1"/>
    <n v="0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x v="0"/>
    <n v="2"/>
    <n v="80"/>
    <x v="0"/>
    <n v="9"/>
    <x v="3"/>
    <n v="2"/>
    <n v="8"/>
    <n v="7"/>
    <n v="0"/>
    <n v="7"/>
  </r>
  <r>
    <n v="48"/>
    <x v="1"/>
    <n v="0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x v="0"/>
    <n v="2"/>
    <n v="80"/>
    <x v="1"/>
    <n v="24"/>
    <x v="1"/>
    <n v="3"/>
    <n v="22"/>
    <n v="17"/>
    <n v="4"/>
    <n v="7"/>
  </r>
  <r>
    <n v="44"/>
    <x v="1"/>
    <n v="0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x v="0"/>
    <n v="4"/>
    <n v="80"/>
    <x v="1"/>
    <n v="10"/>
    <x v="3"/>
    <n v="3"/>
    <n v="2"/>
    <n v="0"/>
    <n v="2"/>
    <n v="2"/>
  </r>
  <r>
    <n v="34"/>
    <x v="0"/>
    <n v="1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x v="1"/>
    <n v="2"/>
    <n v="80"/>
    <x v="1"/>
    <n v="5"/>
    <x v="2"/>
    <n v="3"/>
    <n v="5"/>
    <n v="2"/>
    <n v="3"/>
    <n v="0"/>
  </r>
  <r>
    <n v="56"/>
    <x v="0"/>
    <n v="1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x v="0"/>
    <n v="4"/>
    <n v="80"/>
    <x v="0"/>
    <n v="5"/>
    <x v="1"/>
    <n v="3"/>
    <n v="4"/>
    <n v="2"/>
    <n v="1"/>
    <n v="0"/>
  </r>
  <r>
    <n v="36"/>
    <x v="1"/>
    <n v="0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x v="0"/>
    <n v="3"/>
    <n v="80"/>
    <x v="3"/>
    <n v="12"/>
    <x v="4"/>
    <n v="1"/>
    <n v="4"/>
    <n v="2"/>
    <n v="1"/>
    <n v="3"/>
  </r>
  <r>
    <n v="41"/>
    <x v="1"/>
    <n v="0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x v="1"/>
    <n v="3"/>
    <n v="80"/>
    <x v="1"/>
    <n v="14"/>
    <x v="1"/>
    <n v="3"/>
    <n v="5"/>
    <n v="4"/>
    <n v="1"/>
    <n v="4"/>
  </r>
  <r>
    <n v="42"/>
    <x v="1"/>
    <n v="0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x v="0"/>
    <n v="2"/>
    <n v="80"/>
    <x v="1"/>
    <n v="18"/>
    <x v="1"/>
    <n v="4"/>
    <n v="13"/>
    <n v="7"/>
    <n v="5"/>
    <n v="7"/>
  </r>
  <r>
    <n v="31"/>
    <x v="1"/>
    <n v="0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x v="0"/>
    <n v="4"/>
    <n v="80"/>
    <x v="1"/>
    <n v="8"/>
    <x v="2"/>
    <n v="3"/>
    <n v="5"/>
    <n v="2"/>
    <n v="1"/>
    <n v="4"/>
  </r>
  <r>
    <n v="34"/>
    <x v="1"/>
    <n v="0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x v="0"/>
    <n v="3"/>
    <n v="80"/>
    <x v="0"/>
    <n v="9"/>
    <x v="1"/>
    <n v="2"/>
    <n v="4"/>
    <n v="2"/>
    <n v="0"/>
    <n v="1"/>
  </r>
  <r>
    <n v="31"/>
    <x v="1"/>
    <n v="0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x v="0"/>
    <n v="2"/>
    <n v="80"/>
    <x v="1"/>
    <n v="4"/>
    <x v="0"/>
    <n v="2"/>
    <n v="2"/>
    <n v="2"/>
    <n v="2"/>
    <n v="2"/>
  </r>
  <r>
    <n v="26"/>
    <x v="1"/>
    <n v="0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x v="0"/>
    <n v="1"/>
    <n v="80"/>
    <x v="1"/>
    <n v="8"/>
    <x v="1"/>
    <n v="3"/>
    <n v="7"/>
    <n v="7"/>
    <n v="7"/>
    <n v="7"/>
  </r>
  <r>
    <n v="45"/>
    <x v="1"/>
    <n v="0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x v="0"/>
    <n v="3"/>
    <n v="80"/>
    <x v="0"/>
    <n v="12"/>
    <x v="1"/>
    <n v="3"/>
    <n v="4"/>
    <n v="2"/>
    <n v="0"/>
    <n v="3"/>
  </r>
  <r>
    <n v="33"/>
    <x v="1"/>
    <n v="0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x v="0"/>
    <n v="2"/>
    <n v="80"/>
    <x v="0"/>
    <n v="10"/>
    <x v="2"/>
    <n v="2"/>
    <n v="10"/>
    <n v="4"/>
    <n v="0"/>
    <n v="9"/>
  </r>
  <r>
    <n v="28"/>
    <x v="1"/>
    <n v="0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x v="0"/>
    <n v="3"/>
    <n v="80"/>
    <x v="1"/>
    <n v="7"/>
    <x v="2"/>
    <n v="3"/>
    <n v="7"/>
    <n v="7"/>
    <n v="0"/>
    <n v="7"/>
  </r>
  <r>
    <n v="29"/>
    <x v="0"/>
    <n v="1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x v="0"/>
    <n v="4"/>
    <n v="80"/>
    <x v="0"/>
    <n v="1"/>
    <x v="1"/>
    <n v="3"/>
    <n v="1"/>
    <n v="0"/>
    <n v="0"/>
    <n v="0"/>
  </r>
  <r>
    <n v="39"/>
    <x v="1"/>
    <n v="0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x v="0"/>
    <n v="3"/>
    <n v="80"/>
    <x v="1"/>
    <n v="10"/>
    <x v="4"/>
    <n v="3"/>
    <n v="3"/>
    <n v="2"/>
    <n v="1"/>
    <n v="2"/>
  </r>
  <r>
    <n v="27"/>
    <x v="1"/>
    <n v="0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x v="0"/>
    <n v="3"/>
    <n v="80"/>
    <x v="1"/>
    <n v="6"/>
    <x v="1"/>
    <n v="2"/>
    <n v="5"/>
    <n v="3"/>
    <n v="1"/>
    <n v="2"/>
  </r>
  <r>
    <n v="34"/>
    <x v="1"/>
    <n v="0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x v="0"/>
    <n v="2"/>
    <n v="80"/>
    <x v="0"/>
    <n v="16"/>
    <x v="1"/>
    <n v="3"/>
    <n v="15"/>
    <n v="10"/>
    <n v="6"/>
    <n v="11"/>
  </r>
  <r>
    <n v="28"/>
    <x v="0"/>
    <n v="1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x v="0"/>
    <n v="4"/>
    <n v="80"/>
    <x v="0"/>
    <n v="6"/>
    <x v="0"/>
    <n v="3"/>
    <n v="2"/>
    <n v="0"/>
    <n v="2"/>
    <n v="2"/>
  </r>
  <r>
    <n v="47"/>
    <x v="1"/>
    <n v="0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x v="0"/>
    <n v="3"/>
    <n v="80"/>
    <x v="1"/>
    <n v="16"/>
    <x v="5"/>
    <n v="4"/>
    <n v="8"/>
    <n v="7"/>
    <n v="1"/>
    <n v="7"/>
  </r>
  <r>
    <n v="56"/>
    <x v="1"/>
    <n v="0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x v="0"/>
    <n v="3"/>
    <n v="80"/>
    <x v="1"/>
    <n v="6"/>
    <x v="1"/>
    <n v="3"/>
    <n v="0"/>
    <n v="0"/>
    <n v="0"/>
    <n v="0"/>
  </r>
  <r>
    <n v="39"/>
    <x v="1"/>
    <n v="0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x v="1"/>
    <n v="4"/>
    <n v="80"/>
    <x v="1"/>
    <n v="10"/>
    <x v="1"/>
    <n v="3"/>
    <n v="10"/>
    <n v="0"/>
    <n v="7"/>
    <n v="9"/>
  </r>
  <r>
    <n v="38"/>
    <x v="1"/>
    <n v="0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x v="0"/>
    <n v="3"/>
    <n v="80"/>
    <x v="1"/>
    <n v="20"/>
    <x v="1"/>
    <n v="3"/>
    <n v="20"/>
    <n v="11"/>
    <n v="0"/>
    <n v="7"/>
  </r>
  <r>
    <n v="58"/>
    <x v="1"/>
    <n v="0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x v="0"/>
    <n v="3"/>
    <n v="80"/>
    <x v="1"/>
    <n v="29"/>
    <x v="2"/>
    <n v="2"/>
    <n v="1"/>
    <n v="0"/>
    <n v="0"/>
    <n v="0"/>
  </r>
  <r>
    <n v="32"/>
    <x v="0"/>
    <n v="1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x v="0"/>
    <n v="1"/>
    <n v="80"/>
    <x v="0"/>
    <n v="8"/>
    <x v="2"/>
    <n v="3"/>
    <n v="4"/>
    <n v="1"/>
    <n v="0"/>
    <n v="3"/>
  </r>
  <r>
    <n v="38"/>
    <x v="1"/>
    <n v="0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x v="0"/>
    <n v="4"/>
    <n v="80"/>
    <x v="3"/>
    <n v="10"/>
    <x v="0"/>
    <n v="4"/>
    <n v="5"/>
    <n v="2"/>
    <n v="0"/>
    <n v="3"/>
  </r>
  <r>
    <n v="49"/>
    <x v="1"/>
    <n v="0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x v="0"/>
    <n v="4"/>
    <n v="80"/>
    <x v="0"/>
    <n v="28"/>
    <x v="1"/>
    <n v="3"/>
    <n v="5"/>
    <n v="4"/>
    <n v="4"/>
    <n v="3"/>
  </r>
  <r>
    <n v="42"/>
    <x v="1"/>
    <n v="0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x v="0"/>
    <n v="3"/>
    <n v="80"/>
    <x v="3"/>
    <n v="14"/>
    <x v="5"/>
    <n v="3"/>
    <n v="0"/>
    <n v="0"/>
    <n v="0"/>
    <n v="0"/>
  </r>
  <r>
    <n v="27"/>
    <x v="0"/>
    <n v="1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x v="0"/>
    <n v="1"/>
    <n v="80"/>
    <x v="0"/>
    <n v="1"/>
    <x v="2"/>
    <n v="3"/>
    <n v="1"/>
    <n v="0"/>
    <n v="0"/>
    <n v="0"/>
  </r>
  <r>
    <n v="35"/>
    <x v="1"/>
    <n v="0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x v="0"/>
    <n v="4"/>
    <n v="80"/>
    <x v="1"/>
    <n v="6"/>
    <x v="2"/>
    <n v="1"/>
    <n v="5"/>
    <n v="3"/>
    <n v="0"/>
    <n v="4"/>
  </r>
  <r>
    <n v="28"/>
    <x v="1"/>
    <n v="0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x v="0"/>
    <n v="3"/>
    <n v="80"/>
    <x v="0"/>
    <n v="5"/>
    <x v="1"/>
    <n v="2"/>
    <n v="5"/>
    <n v="3"/>
    <n v="1"/>
    <n v="4"/>
  </r>
  <r>
    <n v="31"/>
    <x v="1"/>
    <n v="0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x v="0"/>
    <n v="4"/>
    <n v="80"/>
    <x v="1"/>
    <n v="4"/>
    <x v="1"/>
    <n v="4"/>
    <n v="4"/>
    <n v="2"/>
    <n v="2"/>
    <n v="3"/>
  </r>
  <r>
    <n v="36"/>
    <x v="1"/>
    <n v="0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x v="1"/>
    <n v="2"/>
    <n v="80"/>
    <x v="0"/>
    <n v="5"/>
    <x v="1"/>
    <n v="3"/>
    <n v="5"/>
    <n v="4"/>
    <n v="0"/>
    <n v="2"/>
  </r>
  <r>
    <n v="34"/>
    <x v="1"/>
    <n v="0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x v="1"/>
    <n v="1"/>
    <n v="80"/>
    <x v="0"/>
    <n v="14"/>
    <x v="1"/>
    <n v="2"/>
    <n v="14"/>
    <n v="8"/>
    <n v="2"/>
    <n v="1"/>
  </r>
  <r>
    <n v="34"/>
    <x v="1"/>
    <n v="0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x v="0"/>
    <n v="3"/>
    <n v="80"/>
    <x v="1"/>
    <n v="9"/>
    <x v="2"/>
    <n v="2"/>
    <n v="8"/>
    <n v="7"/>
    <n v="1"/>
    <n v="1"/>
  </r>
  <r>
    <n v="26"/>
    <x v="1"/>
    <n v="0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x v="0"/>
    <n v="4"/>
    <n v="80"/>
    <x v="0"/>
    <n v="8"/>
    <x v="6"/>
    <n v="2"/>
    <n v="7"/>
    <n v="7"/>
    <n v="7"/>
    <n v="6"/>
  </r>
  <r>
    <n v="29"/>
    <x v="1"/>
    <n v="0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x v="0"/>
    <n v="1"/>
    <n v="80"/>
    <x v="1"/>
    <n v="6"/>
    <x v="3"/>
    <n v="2"/>
    <n v="5"/>
    <n v="3"/>
    <n v="0"/>
    <n v="2"/>
  </r>
  <r>
    <n v="32"/>
    <x v="1"/>
    <n v="0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x v="0"/>
    <n v="2"/>
    <n v="80"/>
    <x v="1"/>
    <n v="9"/>
    <x v="6"/>
    <n v="3"/>
    <n v="5"/>
    <n v="1"/>
    <n v="1"/>
    <n v="2"/>
  </r>
  <r>
    <n v="31"/>
    <x v="1"/>
    <n v="0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x v="1"/>
    <n v="2"/>
    <n v="80"/>
    <x v="0"/>
    <n v="10"/>
    <x v="6"/>
    <n v="3"/>
    <n v="10"/>
    <n v="8"/>
    <n v="8"/>
    <n v="7"/>
  </r>
  <r>
    <n v="28"/>
    <x v="0"/>
    <n v="1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x v="0"/>
    <n v="1"/>
    <n v="80"/>
    <x v="1"/>
    <n v="6"/>
    <x v="2"/>
    <n v="2"/>
    <n v="4"/>
    <n v="1"/>
    <n v="0"/>
    <n v="3"/>
  </r>
  <r>
    <n v="38"/>
    <x v="1"/>
    <n v="0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x v="0"/>
    <n v="1"/>
    <n v="80"/>
    <x v="0"/>
    <n v="20"/>
    <x v="1"/>
    <n v="2"/>
    <n v="1"/>
    <n v="0"/>
    <n v="0"/>
    <n v="0"/>
  </r>
  <r>
    <n v="35"/>
    <x v="1"/>
    <n v="0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x v="0"/>
    <n v="4"/>
    <n v="80"/>
    <x v="0"/>
    <n v="10"/>
    <x v="2"/>
    <n v="3"/>
    <n v="10"/>
    <n v="8"/>
    <n v="0"/>
    <n v="9"/>
  </r>
  <r>
    <n v="27"/>
    <x v="1"/>
    <n v="0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x v="0"/>
    <n v="1"/>
    <n v="80"/>
    <x v="0"/>
    <n v="7"/>
    <x v="3"/>
    <n v="3"/>
    <n v="7"/>
    <n v="7"/>
    <n v="0"/>
    <n v="7"/>
  </r>
  <r>
    <n v="32"/>
    <x v="1"/>
    <n v="0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x v="1"/>
    <n v="2"/>
    <n v="80"/>
    <x v="0"/>
    <n v="8"/>
    <x v="4"/>
    <n v="3"/>
    <n v="1"/>
    <n v="0"/>
    <n v="0"/>
    <n v="0"/>
  </r>
  <r>
    <n v="31"/>
    <x v="0"/>
    <n v="1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x v="0"/>
    <n v="3"/>
    <n v="80"/>
    <x v="0"/>
    <n v="10"/>
    <x v="5"/>
    <n v="3"/>
    <n v="10"/>
    <n v="7"/>
    <n v="0"/>
    <n v="8"/>
  </r>
  <r>
    <n v="53"/>
    <x v="0"/>
    <n v="1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x v="0"/>
    <n v="2"/>
    <n v="80"/>
    <x v="0"/>
    <n v="15"/>
    <x v="2"/>
    <n v="2"/>
    <n v="2"/>
    <n v="2"/>
    <n v="2"/>
    <n v="2"/>
  </r>
  <r>
    <n v="54"/>
    <x v="1"/>
    <n v="0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x v="0"/>
    <n v="3"/>
    <n v="80"/>
    <x v="3"/>
    <n v="9"/>
    <x v="6"/>
    <n v="2"/>
    <n v="4"/>
    <n v="3"/>
    <n v="2"/>
    <n v="3"/>
  </r>
  <r>
    <n v="33"/>
    <x v="1"/>
    <n v="0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x v="1"/>
    <n v="3"/>
    <n v="80"/>
    <x v="2"/>
    <n v="9"/>
    <x v="2"/>
    <n v="3"/>
    <n v="9"/>
    <n v="7"/>
    <n v="2"/>
    <n v="8"/>
  </r>
  <r>
    <n v="43"/>
    <x v="1"/>
    <n v="0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x v="0"/>
    <n v="2"/>
    <n v="80"/>
    <x v="1"/>
    <n v="10"/>
    <x v="4"/>
    <n v="3"/>
    <n v="10"/>
    <n v="9"/>
    <n v="0"/>
    <n v="9"/>
  </r>
  <r>
    <n v="38"/>
    <x v="1"/>
    <n v="0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x v="0"/>
    <n v="2"/>
    <n v="80"/>
    <x v="1"/>
    <n v="7"/>
    <x v="2"/>
    <n v="3"/>
    <n v="6"/>
    <n v="2"/>
    <n v="1"/>
    <n v="2"/>
  </r>
  <r>
    <n v="55"/>
    <x v="1"/>
    <n v="0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x v="0"/>
    <n v="1"/>
    <n v="80"/>
    <x v="1"/>
    <n v="35"/>
    <x v="0"/>
    <n v="3"/>
    <n v="10"/>
    <n v="9"/>
    <n v="1"/>
    <n v="4"/>
  </r>
  <r>
    <n v="31"/>
    <x v="1"/>
    <n v="0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x v="0"/>
    <n v="3"/>
    <n v="80"/>
    <x v="2"/>
    <n v="1"/>
    <x v="5"/>
    <n v="3"/>
    <n v="1"/>
    <n v="0"/>
    <n v="0"/>
    <n v="0"/>
  </r>
  <r>
    <n v="39"/>
    <x v="1"/>
    <n v="0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x v="0"/>
    <n v="1"/>
    <n v="80"/>
    <x v="0"/>
    <n v="21"/>
    <x v="1"/>
    <n v="3"/>
    <n v="20"/>
    <n v="8"/>
    <n v="11"/>
    <n v="10"/>
  </r>
  <r>
    <n v="42"/>
    <x v="1"/>
    <n v="0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x v="0"/>
    <n v="4"/>
    <n v="80"/>
    <x v="0"/>
    <n v="20"/>
    <x v="2"/>
    <n v="3"/>
    <n v="20"/>
    <n v="9"/>
    <n v="3"/>
    <n v="7"/>
  </r>
  <r>
    <n v="31"/>
    <x v="1"/>
    <n v="0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x v="1"/>
    <n v="3"/>
    <n v="80"/>
    <x v="1"/>
    <n v="13"/>
    <x v="2"/>
    <n v="4"/>
    <n v="11"/>
    <n v="7"/>
    <n v="4"/>
    <n v="8"/>
  </r>
  <r>
    <n v="54"/>
    <x v="1"/>
    <n v="0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x v="0"/>
    <n v="4"/>
    <n v="80"/>
    <x v="0"/>
    <n v="9"/>
    <x v="1"/>
    <n v="3"/>
    <n v="5"/>
    <n v="2"/>
    <n v="1"/>
    <n v="4"/>
  </r>
  <r>
    <n v="24"/>
    <x v="1"/>
    <n v="0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x v="0"/>
    <n v="2"/>
    <n v="80"/>
    <x v="0"/>
    <n v="4"/>
    <x v="2"/>
    <n v="2"/>
    <n v="4"/>
    <n v="3"/>
    <n v="1"/>
    <n v="2"/>
  </r>
  <r>
    <n v="23"/>
    <x v="1"/>
    <n v="0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x v="0"/>
    <n v="3"/>
    <n v="80"/>
    <x v="0"/>
    <n v="5"/>
    <x v="6"/>
    <n v="4"/>
    <n v="5"/>
    <n v="2"/>
    <n v="1"/>
    <n v="4"/>
  </r>
  <r>
    <n v="40"/>
    <x v="1"/>
    <n v="0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x v="0"/>
    <n v="1"/>
    <n v="80"/>
    <x v="1"/>
    <n v="10"/>
    <x v="2"/>
    <n v="4"/>
    <n v="10"/>
    <n v="9"/>
    <n v="9"/>
    <n v="4"/>
  </r>
  <r>
    <n v="40"/>
    <x v="1"/>
    <n v="0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x v="0"/>
    <n v="3"/>
    <n v="80"/>
    <x v="1"/>
    <n v="15"/>
    <x v="5"/>
    <n v="3"/>
    <n v="11"/>
    <n v="8"/>
    <n v="5"/>
    <n v="10"/>
  </r>
  <r>
    <n v="25"/>
    <x v="1"/>
    <n v="0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x v="0"/>
    <n v="3"/>
    <n v="80"/>
    <x v="0"/>
    <n v="6"/>
    <x v="1"/>
    <n v="3"/>
    <n v="2"/>
    <n v="0"/>
    <n v="1"/>
    <n v="2"/>
  </r>
  <r>
    <n v="30"/>
    <x v="1"/>
    <n v="0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x v="0"/>
    <n v="3"/>
    <n v="80"/>
    <x v="0"/>
    <n v="12"/>
    <x v="6"/>
    <n v="2"/>
    <n v="12"/>
    <n v="8"/>
    <n v="1"/>
    <n v="7"/>
  </r>
  <r>
    <n v="25"/>
    <x v="1"/>
    <n v="0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x v="0"/>
    <n v="3"/>
    <n v="80"/>
    <x v="1"/>
    <n v="7"/>
    <x v="2"/>
    <n v="2"/>
    <n v="2"/>
    <n v="2"/>
    <n v="0"/>
    <n v="2"/>
  </r>
  <r>
    <n v="47"/>
    <x v="1"/>
    <n v="0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x v="1"/>
    <n v="2"/>
    <n v="80"/>
    <x v="0"/>
    <n v="25"/>
    <x v="1"/>
    <n v="3"/>
    <n v="17"/>
    <n v="14"/>
    <n v="12"/>
    <n v="11"/>
  </r>
  <r>
    <n v="33"/>
    <x v="1"/>
    <n v="0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x v="0"/>
    <n v="3"/>
    <n v="80"/>
    <x v="2"/>
    <n v="1"/>
    <x v="2"/>
    <n v="2"/>
    <n v="1"/>
    <n v="1"/>
    <n v="0"/>
    <n v="0"/>
  </r>
  <r>
    <n v="38"/>
    <x v="1"/>
    <n v="0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x v="0"/>
    <n v="1"/>
    <n v="80"/>
    <x v="3"/>
    <n v="16"/>
    <x v="1"/>
    <n v="3"/>
    <n v="15"/>
    <n v="13"/>
    <n v="5"/>
    <n v="8"/>
  </r>
  <r>
    <n v="31"/>
    <x v="1"/>
    <n v="0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x v="0"/>
    <n v="3"/>
    <n v="80"/>
    <x v="1"/>
    <n v="3"/>
    <x v="4"/>
    <n v="3"/>
    <n v="2"/>
    <n v="2"/>
    <n v="1"/>
    <n v="2"/>
  </r>
  <r>
    <n v="38"/>
    <x v="1"/>
    <n v="0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x v="0"/>
    <n v="4"/>
    <n v="80"/>
    <x v="1"/>
    <n v="10"/>
    <x v="4"/>
    <n v="3"/>
    <n v="8"/>
    <n v="3"/>
    <n v="7"/>
    <n v="7"/>
  </r>
  <r>
    <n v="42"/>
    <x v="1"/>
    <n v="0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x v="0"/>
    <n v="3"/>
    <n v="80"/>
    <x v="1"/>
    <n v="9"/>
    <x v="1"/>
    <n v="2"/>
    <n v="4"/>
    <n v="3"/>
    <n v="1"/>
    <n v="2"/>
  </r>
  <r>
    <n v="41"/>
    <x v="1"/>
    <n v="0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x v="1"/>
    <n v="1"/>
    <n v="80"/>
    <x v="1"/>
    <n v="12"/>
    <x v="1"/>
    <n v="3"/>
    <n v="5"/>
    <n v="3"/>
    <n v="1"/>
    <n v="0"/>
  </r>
  <r>
    <n v="47"/>
    <x v="1"/>
    <n v="0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x v="0"/>
    <n v="1"/>
    <n v="80"/>
    <x v="3"/>
    <n v="14"/>
    <x v="1"/>
    <n v="1"/>
    <n v="13"/>
    <n v="8"/>
    <n v="5"/>
    <n v="12"/>
  </r>
  <r>
    <n v="35"/>
    <x v="1"/>
    <n v="0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x v="0"/>
    <n v="3"/>
    <n v="80"/>
    <x v="1"/>
    <n v="5"/>
    <x v="1"/>
    <n v="3"/>
    <n v="2"/>
    <n v="2"/>
    <n v="2"/>
    <n v="2"/>
  </r>
  <r>
    <n v="22"/>
    <x v="1"/>
    <n v="0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x v="0"/>
    <n v="4"/>
    <n v="80"/>
    <x v="0"/>
    <n v="4"/>
    <x v="2"/>
    <n v="4"/>
    <n v="3"/>
    <n v="2"/>
    <n v="1"/>
    <n v="2"/>
  </r>
  <r>
    <n v="35"/>
    <x v="1"/>
    <n v="0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x v="0"/>
    <n v="2"/>
    <n v="80"/>
    <x v="0"/>
    <n v="10"/>
    <x v="3"/>
    <n v="3"/>
    <n v="10"/>
    <n v="7"/>
    <n v="0"/>
    <n v="8"/>
  </r>
  <r>
    <n v="33"/>
    <x v="1"/>
    <n v="0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x v="0"/>
    <n v="1"/>
    <n v="80"/>
    <x v="1"/>
    <n v="10"/>
    <x v="6"/>
    <n v="3"/>
    <n v="9"/>
    <n v="7"/>
    <n v="8"/>
    <n v="1"/>
  </r>
  <r>
    <n v="32"/>
    <x v="1"/>
    <n v="0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x v="0"/>
    <n v="3"/>
    <n v="80"/>
    <x v="0"/>
    <n v="6"/>
    <x v="1"/>
    <n v="3"/>
    <n v="6"/>
    <n v="2"/>
    <n v="4"/>
    <n v="1"/>
  </r>
  <r>
    <n v="40"/>
    <x v="1"/>
    <n v="0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x v="0"/>
    <n v="3"/>
    <n v="80"/>
    <x v="3"/>
    <n v="8"/>
    <x v="1"/>
    <n v="2"/>
    <n v="1"/>
    <n v="0"/>
    <n v="0"/>
    <n v="0"/>
  </r>
  <r>
    <n v="32"/>
    <x v="1"/>
    <n v="0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x v="0"/>
    <n v="2"/>
    <n v="80"/>
    <x v="1"/>
    <n v="3"/>
    <x v="2"/>
    <n v="3"/>
    <n v="2"/>
    <n v="2"/>
    <n v="2"/>
    <n v="2"/>
  </r>
  <r>
    <n v="39"/>
    <x v="1"/>
    <n v="0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x v="0"/>
    <n v="1"/>
    <n v="80"/>
    <x v="0"/>
    <n v="18"/>
    <x v="2"/>
    <n v="3"/>
    <n v="7"/>
    <n v="7"/>
    <n v="1"/>
    <n v="7"/>
  </r>
  <r>
    <n v="38"/>
    <x v="1"/>
    <n v="0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x v="0"/>
    <n v="1"/>
    <n v="80"/>
    <x v="1"/>
    <n v="20"/>
    <x v="1"/>
    <n v="3"/>
    <n v="18"/>
    <n v="16"/>
    <n v="1"/>
    <n v="11"/>
  </r>
  <r>
    <n v="32"/>
    <x v="1"/>
    <n v="0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x v="0"/>
    <n v="3"/>
    <n v="80"/>
    <x v="3"/>
    <n v="14"/>
    <x v="1"/>
    <n v="3"/>
    <n v="14"/>
    <n v="10"/>
    <n v="5"/>
    <n v="7"/>
  </r>
  <r>
    <n v="37"/>
    <x v="1"/>
    <n v="0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x v="1"/>
    <n v="1"/>
    <n v="80"/>
    <x v="1"/>
    <n v="16"/>
    <x v="2"/>
    <n v="3"/>
    <n v="16"/>
    <n v="11"/>
    <n v="6"/>
    <n v="8"/>
  </r>
  <r>
    <n v="25"/>
    <x v="1"/>
    <n v="0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x v="1"/>
    <n v="2"/>
    <n v="80"/>
    <x v="1"/>
    <n v="6"/>
    <x v="1"/>
    <n v="2"/>
    <n v="5"/>
    <n v="3"/>
    <n v="0"/>
    <n v="4"/>
  </r>
  <r>
    <n v="52"/>
    <x v="1"/>
    <n v="0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x v="0"/>
    <n v="2"/>
    <n v="80"/>
    <x v="3"/>
    <n v="16"/>
    <x v="1"/>
    <n v="2"/>
    <n v="9"/>
    <n v="8"/>
    <n v="0"/>
    <n v="0"/>
  </r>
  <r>
    <n v="44"/>
    <x v="1"/>
    <n v="0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x v="0"/>
    <n v="3"/>
    <n v="80"/>
    <x v="0"/>
    <n v="6"/>
    <x v="2"/>
    <n v="3"/>
    <n v="4"/>
    <n v="3"/>
    <n v="1"/>
    <n v="2"/>
  </r>
  <r>
    <n v="21"/>
    <x v="1"/>
    <n v="0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x v="0"/>
    <n v="4"/>
    <n v="80"/>
    <x v="0"/>
    <n v="2"/>
    <x v="6"/>
    <n v="3"/>
    <n v="2"/>
    <n v="2"/>
    <n v="1"/>
    <n v="2"/>
  </r>
  <r>
    <n v="39"/>
    <x v="1"/>
    <n v="0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x v="0"/>
    <n v="3"/>
    <n v="80"/>
    <x v="0"/>
    <n v="21"/>
    <x v="1"/>
    <n v="2"/>
    <n v="6"/>
    <n v="0"/>
    <n v="1"/>
    <n v="3"/>
  </r>
  <r>
    <n v="23"/>
    <x v="0"/>
    <n v="1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x v="0"/>
    <n v="1"/>
    <n v="80"/>
    <x v="1"/>
    <n v="1"/>
    <x v="1"/>
    <n v="2"/>
    <n v="1"/>
    <n v="0"/>
    <n v="1"/>
    <n v="0"/>
  </r>
  <r>
    <n v="36"/>
    <x v="1"/>
    <n v="0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x v="0"/>
    <n v="3"/>
    <n v="80"/>
    <x v="3"/>
    <n v="10"/>
    <x v="2"/>
    <n v="3"/>
    <n v="9"/>
    <n v="7"/>
    <n v="3"/>
    <n v="4"/>
  </r>
  <r>
    <n v="36"/>
    <x v="1"/>
    <n v="0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x v="0"/>
    <n v="2"/>
    <n v="80"/>
    <x v="2"/>
    <n v="18"/>
    <x v="1"/>
    <n v="3"/>
    <n v="4"/>
    <n v="2"/>
    <n v="0"/>
    <n v="2"/>
  </r>
  <r>
    <n v="56"/>
    <x v="1"/>
    <n v="0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x v="1"/>
    <n v="1"/>
    <n v="80"/>
    <x v="1"/>
    <n v="13"/>
    <x v="2"/>
    <n v="2"/>
    <n v="13"/>
    <n v="12"/>
    <n v="1"/>
    <n v="9"/>
  </r>
  <r>
    <n v="29"/>
    <x v="0"/>
    <n v="1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x v="0"/>
    <n v="2"/>
    <n v="80"/>
    <x v="2"/>
    <n v="4"/>
    <x v="1"/>
    <n v="4"/>
    <n v="2"/>
    <n v="2"/>
    <n v="2"/>
    <n v="2"/>
  </r>
  <r>
    <n v="42"/>
    <x v="1"/>
    <n v="0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x v="0"/>
    <n v="1"/>
    <n v="80"/>
    <x v="0"/>
    <n v="24"/>
    <x v="2"/>
    <n v="2"/>
    <n v="22"/>
    <n v="6"/>
    <n v="4"/>
    <n v="14"/>
  </r>
  <r>
    <n v="56"/>
    <x v="0"/>
    <n v="1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x v="0"/>
    <n v="4"/>
    <n v="80"/>
    <x v="1"/>
    <n v="14"/>
    <x v="5"/>
    <n v="1"/>
    <n v="10"/>
    <n v="9"/>
    <n v="9"/>
    <n v="8"/>
  </r>
  <r>
    <n v="41"/>
    <x v="1"/>
    <n v="0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x v="1"/>
    <n v="3"/>
    <n v="80"/>
    <x v="1"/>
    <n v="21"/>
    <x v="1"/>
    <n v="3"/>
    <n v="20"/>
    <n v="7"/>
    <n v="0"/>
    <n v="10"/>
  </r>
  <r>
    <n v="34"/>
    <x v="1"/>
    <n v="0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x v="1"/>
    <n v="4"/>
    <n v="80"/>
    <x v="3"/>
    <n v="8"/>
    <x v="2"/>
    <n v="3"/>
    <n v="8"/>
    <n v="7"/>
    <n v="1"/>
    <n v="7"/>
  </r>
  <r>
    <n v="36"/>
    <x v="1"/>
    <n v="0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x v="1"/>
    <n v="1"/>
    <n v="80"/>
    <x v="1"/>
    <n v="15"/>
    <x v="5"/>
    <n v="2"/>
    <n v="15"/>
    <n v="12"/>
    <n v="11"/>
    <n v="11"/>
  </r>
  <r>
    <n v="41"/>
    <x v="1"/>
    <n v="0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x v="0"/>
    <n v="3"/>
    <n v="80"/>
    <x v="1"/>
    <n v="14"/>
    <x v="3"/>
    <n v="3"/>
    <n v="5"/>
    <n v="4"/>
    <n v="0"/>
    <n v="4"/>
  </r>
  <r>
    <n v="32"/>
    <x v="1"/>
    <n v="0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x v="0"/>
    <n v="4"/>
    <n v="80"/>
    <x v="0"/>
    <n v="4"/>
    <x v="5"/>
    <n v="3"/>
    <n v="4"/>
    <n v="2"/>
    <n v="1"/>
    <n v="2"/>
  </r>
  <r>
    <n v="35"/>
    <x v="1"/>
    <n v="0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x v="0"/>
    <n v="3"/>
    <n v="80"/>
    <x v="0"/>
    <n v="9"/>
    <x v="2"/>
    <n v="3"/>
    <n v="9"/>
    <n v="0"/>
    <n v="1"/>
    <n v="7"/>
  </r>
  <r>
    <n v="38"/>
    <x v="1"/>
    <n v="0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x v="0"/>
    <n v="3"/>
    <n v="80"/>
    <x v="1"/>
    <n v="10"/>
    <x v="4"/>
    <n v="3"/>
    <n v="10"/>
    <n v="7"/>
    <n v="1"/>
    <n v="9"/>
  </r>
  <r>
    <n v="50"/>
    <x v="0"/>
    <n v="1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x v="0"/>
    <n v="4"/>
    <n v="80"/>
    <x v="3"/>
    <n v="12"/>
    <x v="1"/>
    <n v="3"/>
    <n v="6"/>
    <n v="3"/>
    <n v="0"/>
    <n v="1"/>
  </r>
  <r>
    <n v="36"/>
    <x v="1"/>
    <n v="0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x v="0"/>
    <n v="1"/>
    <n v="80"/>
    <x v="1"/>
    <n v="8"/>
    <x v="2"/>
    <n v="2"/>
    <n v="6"/>
    <n v="3"/>
    <n v="0"/>
    <n v="0"/>
  </r>
  <r>
    <n v="45"/>
    <x v="1"/>
    <n v="0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x v="0"/>
    <n v="3"/>
    <n v="80"/>
    <x v="0"/>
    <n v="8"/>
    <x v="1"/>
    <n v="3"/>
    <n v="5"/>
    <n v="3"/>
    <n v="0"/>
    <n v="1"/>
  </r>
  <r>
    <n v="40"/>
    <x v="1"/>
    <n v="0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x v="0"/>
    <n v="4"/>
    <n v="80"/>
    <x v="0"/>
    <n v="8"/>
    <x v="2"/>
    <n v="3"/>
    <n v="2"/>
    <n v="2"/>
    <n v="2"/>
    <n v="2"/>
  </r>
  <r>
    <n v="35"/>
    <x v="1"/>
    <n v="0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x v="0"/>
    <n v="4"/>
    <n v="80"/>
    <x v="3"/>
    <n v="10"/>
    <x v="2"/>
    <n v="4"/>
    <n v="10"/>
    <n v="2"/>
    <n v="0"/>
    <n v="2"/>
  </r>
  <r>
    <n v="40"/>
    <x v="1"/>
    <n v="0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x v="0"/>
    <n v="2"/>
    <n v="80"/>
    <x v="2"/>
    <n v="20"/>
    <x v="2"/>
    <n v="3"/>
    <n v="5"/>
    <n v="3"/>
    <n v="0"/>
    <n v="2"/>
  </r>
  <r>
    <n v="35"/>
    <x v="1"/>
    <n v="0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x v="0"/>
    <n v="4"/>
    <n v="80"/>
    <x v="1"/>
    <n v="4"/>
    <x v="3"/>
    <n v="3"/>
    <n v="4"/>
    <n v="3"/>
    <n v="1"/>
    <n v="1"/>
  </r>
  <r>
    <n v="29"/>
    <x v="1"/>
    <n v="0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x v="0"/>
    <n v="1"/>
    <n v="80"/>
    <x v="1"/>
    <n v="10"/>
    <x v="2"/>
    <n v="3"/>
    <n v="4"/>
    <n v="3"/>
    <n v="0"/>
    <n v="3"/>
  </r>
  <r>
    <n v="29"/>
    <x v="1"/>
    <n v="0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x v="0"/>
    <n v="2"/>
    <n v="80"/>
    <x v="0"/>
    <n v="5"/>
    <x v="1"/>
    <n v="1"/>
    <n v="5"/>
    <n v="4"/>
    <n v="0"/>
    <n v="4"/>
  </r>
  <r>
    <n v="50"/>
    <x v="0"/>
    <n v="1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x v="0"/>
    <n v="2"/>
    <n v="80"/>
    <x v="1"/>
    <n v="20"/>
    <x v="1"/>
    <n v="3"/>
    <n v="3"/>
    <n v="2"/>
    <n v="2"/>
    <n v="0"/>
  </r>
  <r>
    <n v="39"/>
    <x v="1"/>
    <n v="0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x v="0"/>
    <n v="1"/>
    <n v="80"/>
    <x v="1"/>
    <n v="21"/>
    <x v="2"/>
    <n v="2"/>
    <n v="20"/>
    <n v="9"/>
    <n v="9"/>
    <n v="6"/>
  </r>
  <r>
    <n v="31"/>
    <x v="1"/>
    <n v="0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x v="0"/>
    <n v="2"/>
    <n v="80"/>
    <x v="0"/>
    <n v="10"/>
    <x v="2"/>
    <n v="3"/>
    <n v="9"/>
    <n v="4"/>
    <n v="1"/>
    <n v="7"/>
  </r>
  <r>
    <n v="26"/>
    <x v="1"/>
    <n v="0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x v="0"/>
    <n v="4"/>
    <n v="80"/>
    <x v="0"/>
    <n v="5"/>
    <x v="2"/>
    <n v="3"/>
    <n v="4"/>
    <n v="2"/>
    <n v="0"/>
    <n v="0"/>
  </r>
  <r>
    <n v="36"/>
    <x v="1"/>
    <n v="0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x v="0"/>
    <n v="3"/>
    <n v="80"/>
    <x v="1"/>
    <n v="17"/>
    <x v="1"/>
    <n v="3"/>
    <n v="5"/>
    <n v="2"/>
    <n v="0"/>
    <n v="3"/>
  </r>
  <r>
    <n v="39"/>
    <x v="1"/>
    <n v="0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x v="0"/>
    <n v="1"/>
    <n v="80"/>
    <x v="1"/>
    <n v="9"/>
    <x v="3"/>
    <n v="3"/>
    <n v="7"/>
    <n v="7"/>
    <n v="1"/>
    <n v="7"/>
  </r>
  <r>
    <n v="27"/>
    <x v="1"/>
    <n v="0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x v="1"/>
    <n v="2"/>
    <n v="80"/>
    <x v="1"/>
    <n v="6"/>
    <x v="0"/>
    <n v="3"/>
    <n v="6"/>
    <n v="2"/>
    <n v="0"/>
    <n v="3"/>
  </r>
  <r>
    <n v="49"/>
    <x v="1"/>
    <n v="0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x v="0"/>
    <n v="4"/>
    <n v="80"/>
    <x v="0"/>
    <n v="17"/>
    <x v="1"/>
    <n v="2"/>
    <n v="9"/>
    <n v="6"/>
    <n v="0"/>
    <n v="8"/>
  </r>
  <r>
    <n v="34"/>
    <x v="1"/>
    <n v="0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86B3B-268A-4C88-90D4-11211F22AD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Attrition">
  <location ref="A4:D9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618B5-FD68-47B4-9C12-45231CBE00E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Status" colHeaderCaption="Attrition">
  <location ref="A53:D58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FE856-7024-4F65-92B8-F2DE062C28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Involvement" colHeaderCaption="Attrition">
  <location ref="A41:D47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FBC8F-D193-4507-B349-93BA8B5318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Attrition">
  <location ref="A31:D35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612D-5378-4BD7-8E15-3610B75DF3C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usinessTravel">
  <location ref="A91:B95" firstHeaderRow="1" firstDataRow="1" firstDataCol="1"/>
  <pivotFields count="36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7" subtotal="average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93BC3-86F2-4F48-BFA3-2E85D942B32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ckOptionLevel" colHeaderCaption="Attrition">
  <location ref="A79:D85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D8095-56C9-40A9-BE62-46B5FB1242B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A15:B25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6"/>
    </i>
    <i>
      <x v="7"/>
    </i>
    <i>
      <x v="8"/>
    </i>
    <i>
      <x v="3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name="Average of JobSatisfaction" fld="17" subtotal="average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401F6-F3CD-49A0-9CAF-4DFEC9B81F1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iningTimesLastYear" colHeaderCaption="Attrition">
  <location ref="A64:D73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3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66A1-12DC-4D1D-B7F0-80D4A3BC4CF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erformanceRating">
  <location ref="A24:B27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Count of EmployeeNumber" fld="1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8FB5A-2CB8-4F45-9DE6-BCA14E248A85}" name="Table1" displayName="Table1" ref="A1:AJ1471" totalsRowShown="0">
  <autoFilter ref="A1:AJ1471" xr:uid="{3A78FB5A-2CB8-4F45-9DE6-BCA14E248A85}"/>
  <tableColumns count="36">
    <tableColumn id="1" xr3:uid="{30AA1FEB-C376-4C17-B018-023B99B1FD16}" name="Age"/>
    <tableColumn id="2" xr3:uid="{05A5B04E-9E3B-4F32-BD98-90056B7B7A38}" name="Attrition"/>
    <tableColumn id="36" xr3:uid="{6241496D-57A9-432B-8387-697C2756594D}" name="AttritionFlag" dataDxfId="2">
      <calculatedColumnFormula>IF(Table1[[#This Row],[Attrition]]="Yes",1,0)</calculatedColumnFormula>
    </tableColumn>
    <tableColumn id="3" xr3:uid="{81A27B9D-6ABA-4952-89C7-D0AB2912137B}" name="BusinessTravel"/>
    <tableColumn id="4" xr3:uid="{7E2B9A45-A605-4E4B-AC4B-011FDCA004EA}" name="DailyRate"/>
    <tableColumn id="5" xr3:uid="{44940749-B33C-4507-8619-98F5EEE2AB8E}" name="Department"/>
    <tableColumn id="6" xr3:uid="{E058A202-8732-4EAD-9F6B-21B43E7B666D}" name="DistanceFromHome"/>
    <tableColumn id="7" xr3:uid="{B0971476-58C6-467C-B5B3-DFAE18BB031D}" name="Education"/>
    <tableColumn id="8" xr3:uid="{24147409-FF86-455E-A4CD-BC092B319D3F}" name="EducationField"/>
    <tableColumn id="9" xr3:uid="{06F328BD-0C60-4D18-8D60-7F69DE9BCDCC}" name="EmployeeCount"/>
    <tableColumn id="10" xr3:uid="{497B70E5-422E-4B72-B658-E25E16143EFA}" name="EmployeeNumber"/>
    <tableColumn id="11" xr3:uid="{BAB6A4BD-F609-4960-80C6-916303A2BE6E}" name="EnvironmentSatisfaction"/>
    <tableColumn id="12" xr3:uid="{48A7B875-0EC5-4802-8079-45AA7C8FE280}" name="Gender"/>
    <tableColumn id="13" xr3:uid="{3E5FDCFB-CC1C-4F9A-AD24-7826768FD9A6}" name="HourlyRate"/>
    <tableColumn id="14" xr3:uid="{CE431CE4-CC76-42C0-A61D-8ED044753551}" name="JobInvolvement"/>
    <tableColumn id="15" xr3:uid="{7FDF332D-915D-4E1F-B27C-663FFED9DFDC}" name="JobLevel"/>
    <tableColumn id="16" xr3:uid="{B7D90B57-184E-48B2-AAF3-5953A3F4CBE5}" name="JobRole"/>
    <tableColumn id="17" xr3:uid="{F2EC7871-1F8B-404B-A2C3-FC987EDFF1D0}" name="JobSatisfaction"/>
    <tableColumn id="18" xr3:uid="{3FB8B9F0-2524-4456-A1C4-C224AD869A6B}" name="MaritalStatus"/>
    <tableColumn id="19" xr3:uid="{18AA5D3F-5347-4ED3-B4AF-CF33FA82EBFB}" name="MonthlyIncome"/>
    <tableColumn id="20" xr3:uid="{9D91834B-3D87-44D2-8E2E-4450429C6ED2}" name="MonthlyRate"/>
    <tableColumn id="21" xr3:uid="{D688CA33-DFDD-4A93-8C65-6455DE3D4CCD}" name="NumCompaniesWorked"/>
    <tableColumn id="22" xr3:uid="{D26B91B9-379F-44C5-8FF5-0C1E79D4E1B7}" name="Over18"/>
    <tableColumn id="23" xr3:uid="{72EF80A3-D1AB-4EF0-9156-118A84608137}" name="OverTime"/>
    <tableColumn id="24" xr3:uid="{79ECD0A5-2E8C-466F-A07B-A7FB25B7CB3C}" name="PercentSalaryHike"/>
    <tableColumn id="25" xr3:uid="{F89A3BB4-D5B7-48D7-BCC6-0922DD95ECCA}" name="PerformanceRating"/>
    <tableColumn id="26" xr3:uid="{581676CA-DD26-4D91-A6B2-6609D8037A89}" name="RelationshipSatisfaction"/>
    <tableColumn id="27" xr3:uid="{B4BE59E3-489B-4CE7-BD1A-C70EBCE50F1E}" name="StandardHours"/>
    <tableColumn id="28" xr3:uid="{9D1B10C4-F561-4814-9243-1CD579454BD3}" name="StockOptionLevel"/>
    <tableColumn id="29" xr3:uid="{EED44286-3638-448F-B5B2-7FB75DD87C26}" name="TotalWorkingYears"/>
    <tableColumn id="30" xr3:uid="{E7235EF0-AF1E-4541-8DEF-BBF91A25E1BD}" name="TrainingTimesLastYear"/>
    <tableColumn id="31" xr3:uid="{A4263789-D46A-49E7-B954-D3D63C4D751F}" name="WorkLifeBalance"/>
    <tableColumn id="32" xr3:uid="{3DD47B3B-6395-49EC-A132-6B64176E5D96}" name="YearsAtCompany"/>
    <tableColumn id="33" xr3:uid="{05704C08-8FE0-4102-B8E4-229072A5EE84}" name="YearsInCurrentRole"/>
    <tableColumn id="34" xr3:uid="{D752547C-62FD-41A7-9399-E9EEA7539DFF}" name="YearsSinceLastPromotion"/>
    <tableColumn id="35" xr3:uid="{31A9AFC4-D921-4E7B-A233-692617896368}" name="YearsWithCurrManager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2B6A-29B2-4C9E-A491-1035C10645D0}">
  <dimension ref="A1:AJ1471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3.5546875" bestFit="1" customWidth="1"/>
    <col min="4" max="4" width="15.6640625" bestFit="1" customWidth="1"/>
    <col min="5" max="5" width="11.21875" bestFit="1" customWidth="1"/>
    <col min="6" max="6" width="13.21875" bestFit="1" customWidth="1"/>
    <col min="7" max="7" width="20.109375" bestFit="1" customWidth="1"/>
    <col min="8" max="8" width="11.5546875" bestFit="1" customWidth="1"/>
    <col min="9" max="9" width="15.88671875" bestFit="1" customWidth="1"/>
    <col min="10" max="10" width="16.44140625" bestFit="1" customWidth="1"/>
    <col min="11" max="11" width="18.33203125" bestFit="1" customWidth="1"/>
    <col min="12" max="12" width="24" bestFit="1" customWidth="1"/>
    <col min="13" max="13" width="9.33203125" bestFit="1" customWidth="1"/>
    <col min="14" max="14" width="12.44140625" bestFit="1" customWidth="1"/>
    <col min="15" max="15" width="16.33203125" bestFit="1" customWidth="1"/>
    <col min="16" max="16" width="10.33203125" bestFit="1" customWidth="1"/>
    <col min="17" max="17" width="9.6640625" bestFit="1" customWidth="1"/>
    <col min="18" max="18" width="16.109375" bestFit="1" customWidth="1"/>
    <col min="19" max="19" width="14.44140625" bestFit="1" customWidth="1"/>
    <col min="20" max="20" width="16.109375" bestFit="1" customWidth="1"/>
    <col min="21" max="21" width="13.5546875" bestFit="1" customWidth="1"/>
    <col min="22" max="22" width="23.33203125" bestFit="1" customWidth="1"/>
    <col min="23" max="23" width="9.109375" bestFit="1" customWidth="1"/>
    <col min="24" max="24" width="11.21875" bestFit="1" customWidth="1"/>
    <col min="25" max="25" width="18.88671875" bestFit="1" customWidth="1"/>
    <col min="26" max="26" width="19.21875" bestFit="1" customWidth="1"/>
    <col min="27" max="27" width="24" bestFit="1" customWidth="1"/>
    <col min="28" max="28" width="15.88671875" bestFit="1" customWidth="1"/>
    <col min="29" max="29" width="18.109375" bestFit="1" customWidth="1"/>
    <col min="30" max="30" width="18.77734375" bestFit="1" customWidth="1"/>
    <col min="31" max="31" width="22.109375" bestFit="1" customWidth="1"/>
    <col min="32" max="32" width="17.33203125" bestFit="1" customWidth="1"/>
    <col min="33" max="33" width="17.5546875" bestFit="1" customWidth="1"/>
    <col min="34" max="34" width="19.44140625" bestFit="1" customWidth="1"/>
    <col min="35" max="35" width="24.88671875" bestFit="1" customWidth="1"/>
    <col min="36" max="36" width="22.44140625" bestFit="1" customWidth="1"/>
  </cols>
  <sheetData>
    <row r="1" spans="1:36" x14ac:dyDescent="0.3">
      <c r="A1" t="s">
        <v>0</v>
      </c>
      <c r="B1" t="s">
        <v>1</v>
      </c>
      <c r="C1" t="s">
        <v>62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>
        <v>41</v>
      </c>
      <c r="B2" t="s">
        <v>35</v>
      </c>
      <c r="C2">
        <f>IF(Table1[[#This Row],[Attrition]]="Yes",1,0)</f>
        <v>1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3">
      <c r="A3">
        <v>49</v>
      </c>
      <c r="B3" t="s">
        <v>43</v>
      </c>
      <c r="C3">
        <f>IF(Table1[[#This Row],[Attrition]]="Yes",1,0)</f>
        <v>0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3">
      <c r="A4">
        <v>37</v>
      </c>
      <c r="B4" t="s">
        <v>35</v>
      </c>
      <c r="C4">
        <f>IF(Table1[[#This Row],[Attrition]]="Yes",1,0)</f>
        <v>1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33</v>
      </c>
      <c r="B5" t="s">
        <v>43</v>
      </c>
      <c r="C5">
        <f>IF(Table1[[#This Row],[Attrition]]="Yes",1,0)</f>
        <v>0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3">
      <c r="A6">
        <v>27</v>
      </c>
      <c r="B6" t="s">
        <v>43</v>
      </c>
      <c r="C6">
        <f>IF(Table1[[#This Row],[Attrition]]="Yes",1,0)</f>
        <v>0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3">
      <c r="A7">
        <v>32</v>
      </c>
      <c r="B7" t="s">
        <v>43</v>
      </c>
      <c r="C7">
        <f>IF(Table1[[#This Row],[Attrition]]="Yes",1,0)</f>
        <v>0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3">
      <c r="A8">
        <v>59</v>
      </c>
      <c r="B8" t="s">
        <v>43</v>
      </c>
      <c r="C8">
        <f>IF(Table1[[#This Row],[Attrition]]="Yes",1,0)</f>
        <v>0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3">
      <c r="A9">
        <v>30</v>
      </c>
      <c r="B9" t="s">
        <v>43</v>
      </c>
      <c r="C9">
        <f>IF(Table1[[#This Row],[Attrition]]="Yes",1,0)</f>
        <v>0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t="s">
        <v>43</v>
      </c>
      <c r="C10">
        <f>IF(Table1[[#This Row],[Attrition]]="Yes",1,0)</f>
        <v>0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3">
      <c r="A11">
        <v>36</v>
      </c>
      <c r="B11" t="s">
        <v>43</v>
      </c>
      <c r="C11">
        <f>IF(Table1[[#This Row],[Attrition]]="Yes",1,0)</f>
        <v>0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3">
      <c r="A12">
        <v>35</v>
      </c>
      <c r="B12" t="s">
        <v>43</v>
      </c>
      <c r="C12">
        <f>IF(Table1[[#This Row],[Attrition]]="Yes",1,0)</f>
        <v>0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3">
      <c r="A13">
        <v>29</v>
      </c>
      <c r="B13" t="s">
        <v>43</v>
      </c>
      <c r="C13">
        <f>IF(Table1[[#This Row],[Attrition]]="Yes",1,0)</f>
        <v>0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3">
      <c r="A14">
        <v>31</v>
      </c>
      <c r="B14" t="s">
        <v>43</v>
      </c>
      <c r="C14">
        <f>IF(Table1[[#This Row],[Attrition]]="Yes",1,0)</f>
        <v>0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3">
      <c r="A15">
        <v>34</v>
      </c>
      <c r="B15" t="s">
        <v>43</v>
      </c>
      <c r="C15">
        <f>IF(Table1[[#This Row],[Attrition]]="Yes",1,0)</f>
        <v>0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3">
      <c r="A16">
        <v>28</v>
      </c>
      <c r="B16" t="s">
        <v>35</v>
      </c>
      <c r="C16">
        <f>IF(Table1[[#This Row],[Attrition]]="Yes",1,0)</f>
        <v>1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3">
      <c r="A17">
        <v>29</v>
      </c>
      <c r="B17" t="s">
        <v>43</v>
      </c>
      <c r="C17">
        <f>IF(Table1[[#This Row],[Attrition]]="Yes",1,0)</f>
        <v>0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3">
      <c r="A18">
        <v>32</v>
      </c>
      <c r="B18" t="s">
        <v>43</v>
      </c>
      <c r="C18">
        <f>IF(Table1[[#This Row],[Attrition]]="Yes",1,0)</f>
        <v>0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3">
      <c r="A19">
        <v>22</v>
      </c>
      <c r="B19" t="s">
        <v>43</v>
      </c>
      <c r="C19">
        <f>IF(Table1[[#This Row],[Attrition]]="Yes",1,0)</f>
        <v>0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t="s">
        <v>43</v>
      </c>
      <c r="C20">
        <f>IF(Table1[[#This Row],[Attrition]]="Yes",1,0)</f>
        <v>0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3">
      <c r="A21">
        <v>38</v>
      </c>
      <c r="B21" t="s">
        <v>43</v>
      </c>
      <c r="C21">
        <f>IF(Table1[[#This Row],[Attrition]]="Yes",1,0)</f>
        <v>0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3">
      <c r="A22">
        <v>24</v>
      </c>
      <c r="B22" t="s">
        <v>43</v>
      </c>
      <c r="C22">
        <f>IF(Table1[[#This Row],[Attrition]]="Yes",1,0)</f>
        <v>0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3">
      <c r="A23">
        <v>36</v>
      </c>
      <c r="B23" t="s">
        <v>35</v>
      </c>
      <c r="C23">
        <f>IF(Table1[[#This Row],[Attrition]]="Yes",1,0)</f>
        <v>1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3">
      <c r="A24">
        <v>34</v>
      </c>
      <c r="B24" t="s">
        <v>43</v>
      </c>
      <c r="C24">
        <f>IF(Table1[[#This Row],[Attrition]]="Yes",1,0)</f>
        <v>0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3">
      <c r="A25">
        <v>21</v>
      </c>
      <c r="B25" t="s">
        <v>43</v>
      </c>
      <c r="C25">
        <f>IF(Table1[[#This Row],[Attrition]]="Yes",1,0)</f>
        <v>0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t="s">
        <v>35</v>
      </c>
      <c r="C26">
        <f>IF(Table1[[#This Row],[Attrition]]="Yes",1,0)</f>
        <v>1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3">
      <c r="A27">
        <v>53</v>
      </c>
      <c r="B27" t="s">
        <v>43</v>
      </c>
      <c r="C27">
        <f>IF(Table1[[#This Row],[Attrition]]="Yes",1,0)</f>
        <v>0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3">
      <c r="A28">
        <v>32</v>
      </c>
      <c r="B28" t="s">
        <v>35</v>
      </c>
      <c r="C28">
        <f>IF(Table1[[#This Row],[Attrition]]="Yes",1,0)</f>
        <v>1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3">
      <c r="A29">
        <v>42</v>
      </c>
      <c r="B29" t="s">
        <v>43</v>
      </c>
      <c r="C29">
        <f>IF(Table1[[#This Row],[Attrition]]="Yes",1,0)</f>
        <v>0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3">
      <c r="A30">
        <v>44</v>
      </c>
      <c r="B30" t="s">
        <v>43</v>
      </c>
      <c r="C30">
        <f>IF(Table1[[#This Row],[Attrition]]="Yes",1,0)</f>
        <v>0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3">
      <c r="A31">
        <v>46</v>
      </c>
      <c r="B31" t="s">
        <v>43</v>
      </c>
      <c r="C31">
        <f>IF(Table1[[#This Row],[Attrition]]="Yes",1,0)</f>
        <v>0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3">
      <c r="A32">
        <v>33</v>
      </c>
      <c r="B32" t="s">
        <v>43</v>
      </c>
      <c r="C32">
        <f>IF(Table1[[#This Row],[Attrition]]="Yes",1,0)</f>
        <v>0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3">
      <c r="A33">
        <v>44</v>
      </c>
      <c r="B33" t="s">
        <v>43</v>
      </c>
      <c r="C33">
        <f>IF(Table1[[#This Row],[Attrition]]="Yes",1,0)</f>
        <v>0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3">
      <c r="A34">
        <v>30</v>
      </c>
      <c r="B34" t="s">
        <v>43</v>
      </c>
      <c r="C34">
        <f>IF(Table1[[#This Row],[Attrition]]="Yes",1,0)</f>
        <v>0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3">
      <c r="A35">
        <v>39</v>
      </c>
      <c r="B35" t="s">
        <v>35</v>
      </c>
      <c r="C35">
        <f>IF(Table1[[#This Row],[Attrition]]="Yes",1,0)</f>
        <v>1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3">
      <c r="A36">
        <v>24</v>
      </c>
      <c r="B36" t="s">
        <v>35</v>
      </c>
      <c r="C36">
        <f>IF(Table1[[#This Row],[Attrition]]="Yes",1,0)</f>
        <v>1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3">
      <c r="A37">
        <v>43</v>
      </c>
      <c r="B37" t="s">
        <v>43</v>
      </c>
      <c r="C37">
        <f>IF(Table1[[#This Row],[Attrition]]="Yes",1,0)</f>
        <v>0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3">
      <c r="A38">
        <v>50</v>
      </c>
      <c r="B38" t="s">
        <v>35</v>
      </c>
      <c r="C38">
        <f>IF(Table1[[#This Row],[Attrition]]="Yes",1,0)</f>
        <v>1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3">
      <c r="A39">
        <v>35</v>
      </c>
      <c r="B39" t="s">
        <v>43</v>
      </c>
      <c r="C39">
        <f>IF(Table1[[#This Row],[Attrition]]="Yes",1,0)</f>
        <v>0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3">
      <c r="A40">
        <v>36</v>
      </c>
      <c r="B40" t="s">
        <v>43</v>
      </c>
      <c r="C40">
        <f>IF(Table1[[#This Row],[Attrition]]="Yes",1,0)</f>
        <v>0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3">
      <c r="A41">
        <v>33</v>
      </c>
      <c r="B41" t="s">
        <v>43</v>
      </c>
      <c r="C41">
        <f>IF(Table1[[#This Row],[Attrition]]="Yes",1,0)</f>
        <v>0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3">
      <c r="A42">
        <v>35</v>
      </c>
      <c r="B42" t="s">
        <v>43</v>
      </c>
      <c r="C42">
        <f>IF(Table1[[#This Row],[Attrition]]="Yes",1,0)</f>
        <v>0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t="s">
        <v>43</v>
      </c>
      <c r="C43">
        <f>IF(Table1[[#This Row],[Attrition]]="Yes",1,0)</f>
        <v>0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t="s">
        <v>35</v>
      </c>
      <c r="C44">
        <f>IF(Table1[[#This Row],[Attrition]]="Yes",1,0)</f>
        <v>1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3">
      <c r="A45">
        <v>27</v>
      </c>
      <c r="B45" t="s">
        <v>43</v>
      </c>
      <c r="C45">
        <f>IF(Table1[[#This Row],[Attrition]]="Yes",1,0)</f>
        <v>0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3">
      <c r="A46">
        <v>30</v>
      </c>
      <c r="B46" t="s">
        <v>43</v>
      </c>
      <c r="C46">
        <f>IF(Table1[[#This Row],[Attrition]]="Yes",1,0)</f>
        <v>0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3">
      <c r="A47">
        <v>41</v>
      </c>
      <c r="B47" t="s">
        <v>35</v>
      </c>
      <c r="C47">
        <f>IF(Table1[[#This Row],[Attrition]]="Yes",1,0)</f>
        <v>1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3">
      <c r="A48">
        <v>34</v>
      </c>
      <c r="B48" t="s">
        <v>43</v>
      </c>
      <c r="C48">
        <f>IF(Table1[[#This Row],[Attrition]]="Yes",1,0)</f>
        <v>0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3">
      <c r="A49">
        <v>37</v>
      </c>
      <c r="B49" t="s">
        <v>43</v>
      </c>
      <c r="C49">
        <f>IF(Table1[[#This Row],[Attrition]]="Yes",1,0)</f>
        <v>0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t="s">
        <v>43</v>
      </c>
      <c r="C50">
        <f>IF(Table1[[#This Row],[Attrition]]="Yes",1,0)</f>
        <v>0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3">
      <c r="A51">
        <v>35</v>
      </c>
      <c r="B51" t="s">
        <v>43</v>
      </c>
      <c r="C51">
        <f>IF(Table1[[#This Row],[Attrition]]="Yes",1,0)</f>
        <v>0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3">
      <c r="A52">
        <v>48</v>
      </c>
      <c r="B52" t="s">
        <v>35</v>
      </c>
      <c r="C52">
        <f>IF(Table1[[#This Row],[Attrition]]="Yes",1,0)</f>
        <v>1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3">
      <c r="A53">
        <v>28</v>
      </c>
      <c r="B53" t="s">
        <v>35</v>
      </c>
      <c r="C53">
        <f>IF(Table1[[#This Row],[Attrition]]="Yes",1,0)</f>
        <v>1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3">
      <c r="A54">
        <v>44</v>
      </c>
      <c r="B54" t="s">
        <v>43</v>
      </c>
      <c r="C54">
        <f>IF(Table1[[#This Row],[Attrition]]="Yes",1,0)</f>
        <v>0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3">
      <c r="A55">
        <v>35</v>
      </c>
      <c r="B55" t="s">
        <v>43</v>
      </c>
      <c r="C55">
        <f>IF(Table1[[#This Row],[Attrition]]="Yes",1,0)</f>
        <v>0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3">
      <c r="A56">
        <v>26</v>
      </c>
      <c r="B56" t="s">
        <v>43</v>
      </c>
      <c r="C56">
        <f>IF(Table1[[#This Row],[Attrition]]="Yes",1,0)</f>
        <v>0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3">
      <c r="A57">
        <v>33</v>
      </c>
      <c r="B57" t="s">
        <v>43</v>
      </c>
      <c r="C57">
        <f>IF(Table1[[#This Row],[Attrition]]="Yes",1,0)</f>
        <v>0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3">
      <c r="A58">
        <v>35</v>
      </c>
      <c r="B58" t="s">
        <v>43</v>
      </c>
      <c r="C58">
        <f>IF(Table1[[#This Row],[Attrition]]="Yes",1,0)</f>
        <v>0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3">
      <c r="A59">
        <v>35</v>
      </c>
      <c r="B59" t="s">
        <v>43</v>
      </c>
      <c r="C59">
        <f>IF(Table1[[#This Row],[Attrition]]="Yes",1,0)</f>
        <v>0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3">
      <c r="A60">
        <v>31</v>
      </c>
      <c r="B60" t="s">
        <v>43</v>
      </c>
      <c r="C60">
        <f>IF(Table1[[#This Row],[Attrition]]="Yes",1,0)</f>
        <v>0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3">
      <c r="A61">
        <v>37</v>
      </c>
      <c r="B61" t="s">
        <v>43</v>
      </c>
      <c r="C61">
        <f>IF(Table1[[#This Row],[Attrition]]="Yes",1,0)</f>
        <v>0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3">
      <c r="A62">
        <v>32</v>
      </c>
      <c r="B62" t="s">
        <v>43</v>
      </c>
      <c r="C62">
        <f>IF(Table1[[#This Row],[Attrition]]="Yes",1,0)</f>
        <v>0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3">
      <c r="A63">
        <v>38</v>
      </c>
      <c r="B63" t="s">
        <v>43</v>
      </c>
      <c r="C63">
        <f>IF(Table1[[#This Row],[Attrition]]="Yes",1,0)</f>
        <v>0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3">
      <c r="A64">
        <v>50</v>
      </c>
      <c r="B64" t="s">
        <v>43</v>
      </c>
      <c r="C64">
        <f>IF(Table1[[#This Row],[Attrition]]="Yes",1,0)</f>
        <v>0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3">
      <c r="A65">
        <v>59</v>
      </c>
      <c r="B65" t="s">
        <v>43</v>
      </c>
      <c r="C65">
        <f>IF(Table1[[#This Row],[Attrition]]="Yes",1,0)</f>
        <v>0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3">
      <c r="A66">
        <v>36</v>
      </c>
      <c r="B66" t="s">
        <v>43</v>
      </c>
      <c r="C66">
        <f>IF(Table1[[#This Row],[Attrition]]="Yes",1,0)</f>
        <v>0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3">
      <c r="A67">
        <v>55</v>
      </c>
      <c r="B67" t="s">
        <v>43</v>
      </c>
      <c r="C67">
        <f>IF(Table1[[#This Row],[Attrition]]="Yes",1,0)</f>
        <v>0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3">
      <c r="A68">
        <v>36</v>
      </c>
      <c r="B68" t="s">
        <v>43</v>
      </c>
      <c r="C68">
        <f>IF(Table1[[#This Row],[Attrition]]="Yes",1,0)</f>
        <v>0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3">
      <c r="A69">
        <v>45</v>
      </c>
      <c r="B69" t="s">
        <v>43</v>
      </c>
      <c r="C69">
        <f>IF(Table1[[#This Row],[Attrition]]="Yes",1,0)</f>
        <v>0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t="s">
        <v>43</v>
      </c>
      <c r="C70">
        <f>IF(Table1[[#This Row],[Attrition]]="Yes",1,0)</f>
        <v>0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3">
      <c r="A71">
        <v>36</v>
      </c>
      <c r="B71" t="s">
        <v>35</v>
      </c>
      <c r="C71">
        <f>IF(Table1[[#This Row],[Attrition]]="Yes",1,0)</f>
        <v>1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3">
      <c r="A72">
        <v>59</v>
      </c>
      <c r="B72" t="s">
        <v>43</v>
      </c>
      <c r="C72">
        <f>IF(Table1[[#This Row],[Attrition]]="Yes",1,0)</f>
        <v>0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3">
      <c r="A73">
        <v>29</v>
      </c>
      <c r="B73" t="s">
        <v>43</v>
      </c>
      <c r="C73">
        <f>IF(Table1[[#This Row],[Attrition]]="Yes",1,0)</f>
        <v>0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3">
      <c r="A74">
        <v>31</v>
      </c>
      <c r="B74" t="s">
        <v>43</v>
      </c>
      <c r="C74">
        <f>IF(Table1[[#This Row],[Attrition]]="Yes",1,0)</f>
        <v>0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3">
      <c r="A75">
        <v>32</v>
      </c>
      <c r="B75" t="s">
        <v>43</v>
      </c>
      <c r="C75">
        <f>IF(Table1[[#This Row],[Attrition]]="Yes",1,0)</f>
        <v>0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3">
      <c r="A76">
        <v>36</v>
      </c>
      <c r="B76" t="s">
        <v>43</v>
      </c>
      <c r="C76">
        <f>IF(Table1[[#This Row],[Attrition]]="Yes",1,0)</f>
        <v>0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t="s">
        <v>43</v>
      </c>
      <c r="C77">
        <f>IF(Table1[[#This Row],[Attrition]]="Yes",1,0)</f>
        <v>0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3">
      <c r="A78">
        <v>35</v>
      </c>
      <c r="B78" t="s">
        <v>43</v>
      </c>
      <c r="C78">
        <f>IF(Table1[[#This Row],[Attrition]]="Yes",1,0)</f>
        <v>0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3">
      <c r="A79">
        <v>45</v>
      </c>
      <c r="B79" t="s">
        <v>43</v>
      </c>
      <c r="C79">
        <f>IF(Table1[[#This Row],[Attrition]]="Yes",1,0)</f>
        <v>0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t="s">
        <v>43</v>
      </c>
      <c r="C80">
        <f>IF(Table1[[#This Row],[Attrition]]="Yes",1,0)</f>
        <v>0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3">
      <c r="A81">
        <v>46</v>
      </c>
      <c r="B81" t="s">
        <v>43</v>
      </c>
      <c r="C81">
        <f>IF(Table1[[#This Row],[Attrition]]="Yes",1,0)</f>
        <v>0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3">
      <c r="A82">
        <v>30</v>
      </c>
      <c r="B82" t="s">
        <v>43</v>
      </c>
      <c r="C82">
        <f>IF(Table1[[#This Row],[Attrition]]="Yes",1,0)</f>
        <v>0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3">
      <c r="A83">
        <v>35</v>
      </c>
      <c r="B83" t="s">
        <v>43</v>
      </c>
      <c r="C83">
        <f>IF(Table1[[#This Row],[Attrition]]="Yes",1,0)</f>
        <v>0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3">
      <c r="A84">
        <v>55</v>
      </c>
      <c r="B84" t="s">
        <v>43</v>
      </c>
      <c r="C84">
        <f>IF(Table1[[#This Row],[Attrition]]="Yes",1,0)</f>
        <v>0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3">
      <c r="A85">
        <v>38</v>
      </c>
      <c r="B85" t="s">
        <v>43</v>
      </c>
      <c r="C85">
        <f>IF(Table1[[#This Row],[Attrition]]="Yes",1,0)</f>
        <v>0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3">
      <c r="A86">
        <v>34</v>
      </c>
      <c r="B86" t="s">
        <v>43</v>
      </c>
      <c r="C86">
        <f>IF(Table1[[#This Row],[Attrition]]="Yes",1,0)</f>
        <v>0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3">
      <c r="A87">
        <v>56</v>
      </c>
      <c r="B87" t="s">
        <v>43</v>
      </c>
      <c r="C87">
        <f>IF(Table1[[#This Row],[Attrition]]="Yes",1,0)</f>
        <v>0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3">
      <c r="A88">
        <v>23</v>
      </c>
      <c r="B88" t="s">
        <v>43</v>
      </c>
      <c r="C88">
        <f>IF(Table1[[#This Row],[Attrition]]="Yes",1,0)</f>
        <v>0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t="s">
        <v>43</v>
      </c>
      <c r="C89">
        <f>IF(Table1[[#This Row],[Attrition]]="Yes",1,0)</f>
        <v>0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3">
      <c r="A90">
        <v>30</v>
      </c>
      <c r="B90" t="s">
        <v>43</v>
      </c>
      <c r="C90">
        <f>IF(Table1[[#This Row],[Attrition]]="Yes",1,0)</f>
        <v>0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3">
      <c r="A91">
        <v>46</v>
      </c>
      <c r="B91" t="s">
        <v>35</v>
      </c>
      <c r="C91">
        <f>IF(Table1[[#This Row],[Attrition]]="Yes",1,0)</f>
        <v>1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3">
      <c r="A92">
        <v>40</v>
      </c>
      <c r="B92" t="s">
        <v>43</v>
      </c>
      <c r="C92">
        <f>IF(Table1[[#This Row],[Attrition]]="Yes",1,0)</f>
        <v>0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3">
      <c r="A93">
        <v>51</v>
      </c>
      <c r="B93" t="s">
        <v>43</v>
      </c>
      <c r="C93">
        <f>IF(Table1[[#This Row],[Attrition]]="Yes",1,0)</f>
        <v>0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3">
      <c r="A94">
        <v>30</v>
      </c>
      <c r="B94" t="s">
        <v>43</v>
      </c>
      <c r="C94">
        <f>IF(Table1[[#This Row],[Attrition]]="Yes",1,0)</f>
        <v>0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3">
      <c r="A95">
        <v>46</v>
      </c>
      <c r="B95" t="s">
        <v>43</v>
      </c>
      <c r="C95">
        <f>IF(Table1[[#This Row],[Attrition]]="Yes",1,0)</f>
        <v>0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3">
      <c r="A96">
        <v>32</v>
      </c>
      <c r="B96" t="s">
        <v>43</v>
      </c>
      <c r="C96">
        <f>IF(Table1[[#This Row],[Attrition]]="Yes",1,0)</f>
        <v>0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3">
      <c r="A97">
        <v>54</v>
      </c>
      <c r="B97" t="s">
        <v>43</v>
      </c>
      <c r="C97">
        <f>IF(Table1[[#This Row],[Attrition]]="Yes",1,0)</f>
        <v>0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3">
      <c r="A98">
        <v>24</v>
      </c>
      <c r="B98" t="s">
        <v>43</v>
      </c>
      <c r="C98">
        <f>IF(Table1[[#This Row],[Attrition]]="Yes",1,0)</f>
        <v>0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3">
      <c r="A99">
        <v>28</v>
      </c>
      <c r="B99" t="s">
        <v>43</v>
      </c>
      <c r="C99">
        <f>IF(Table1[[#This Row],[Attrition]]="Yes",1,0)</f>
        <v>0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3">
      <c r="A100">
        <v>58</v>
      </c>
      <c r="B100" t="s">
        <v>43</v>
      </c>
      <c r="C100">
        <f>IF(Table1[[#This Row],[Attrition]]="Yes",1,0)</f>
        <v>0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3">
      <c r="A101">
        <v>44</v>
      </c>
      <c r="B101" t="s">
        <v>43</v>
      </c>
      <c r="C101">
        <f>IF(Table1[[#This Row],[Attrition]]="Yes",1,0)</f>
        <v>0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3">
      <c r="A102">
        <v>37</v>
      </c>
      <c r="B102" t="s">
        <v>35</v>
      </c>
      <c r="C102">
        <f>IF(Table1[[#This Row],[Attrition]]="Yes",1,0)</f>
        <v>1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3">
      <c r="A103">
        <v>32</v>
      </c>
      <c r="B103" t="s">
        <v>43</v>
      </c>
      <c r="C103">
        <f>IF(Table1[[#This Row],[Attrition]]="Yes",1,0)</f>
        <v>0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t="s">
        <v>35</v>
      </c>
      <c r="C104">
        <f>IF(Table1[[#This Row],[Attrition]]="Yes",1,0)</f>
        <v>1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3">
      <c r="A105">
        <v>34</v>
      </c>
      <c r="B105" t="s">
        <v>43</v>
      </c>
      <c r="C105">
        <f>IF(Table1[[#This Row],[Attrition]]="Yes",1,0)</f>
        <v>0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3">
      <c r="A106">
        <v>37</v>
      </c>
      <c r="B106" t="s">
        <v>43</v>
      </c>
      <c r="C106">
        <f>IF(Table1[[#This Row],[Attrition]]="Yes",1,0)</f>
        <v>0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t="s">
        <v>43</v>
      </c>
      <c r="C107">
        <f>IF(Table1[[#This Row],[Attrition]]="Yes",1,0)</f>
        <v>0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3">
      <c r="A108">
        <v>50</v>
      </c>
      <c r="B108" t="s">
        <v>43</v>
      </c>
      <c r="C108">
        <f>IF(Table1[[#This Row],[Attrition]]="Yes",1,0)</f>
        <v>0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3">
      <c r="A109">
        <v>25</v>
      </c>
      <c r="B109" t="s">
        <v>35</v>
      </c>
      <c r="C109">
        <f>IF(Table1[[#This Row],[Attrition]]="Yes",1,0)</f>
        <v>1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3">
      <c r="A110">
        <v>25</v>
      </c>
      <c r="B110" t="s">
        <v>43</v>
      </c>
      <c r="C110">
        <f>IF(Table1[[#This Row],[Attrition]]="Yes",1,0)</f>
        <v>0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3">
      <c r="A111">
        <v>22</v>
      </c>
      <c r="B111" t="s">
        <v>43</v>
      </c>
      <c r="C111">
        <f>IF(Table1[[#This Row],[Attrition]]="Yes",1,0)</f>
        <v>0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t="s">
        <v>43</v>
      </c>
      <c r="C112">
        <f>IF(Table1[[#This Row],[Attrition]]="Yes",1,0)</f>
        <v>0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3">
      <c r="A113">
        <v>34</v>
      </c>
      <c r="B113" t="s">
        <v>35</v>
      </c>
      <c r="C113">
        <f>IF(Table1[[#This Row],[Attrition]]="Yes",1,0)</f>
        <v>1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3">
      <c r="A114">
        <v>54</v>
      </c>
      <c r="B114" t="s">
        <v>43</v>
      </c>
      <c r="C114">
        <f>IF(Table1[[#This Row],[Attrition]]="Yes",1,0)</f>
        <v>0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3">
      <c r="A115">
        <v>24</v>
      </c>
      <c r="B115" t="s">
        <v>43</v>
      </c>
      <c r="C115">
        <f>IF(Table1[[#This Row],[Attrition]]="Yes",1,0)</f>
        <v>0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3">
      <c r="A116">
        <v>34</v>
      </c>
      <c r="B116" t="s">
        <v>43</v>
      </c>
      <c r="C116">
        <f>IF(Table1[[#This Row],[Attrition]]="Yes",1,0)</f>
        <v>0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t="s">
        <v>43</v>
      </c>
      <c r="C117">
        <f>IF(Table1[[#This Row],[Attrition]]="Yes",1,0)</f>
        <v>0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3">
      <c r="A118">
        <v>34</v>
      </c>
      <c r="B118" t="s">
        <v>43</v>
      </c>
      <c r="C118">
        <f>IF(Table1[[#This Row],[Attrition]]="Yes",1,0)</f>
        <v>0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3">
      <c r="A119">
        <v>36</v>
      </c>
      <c r="B119" t="s">
        <v>43</v>
      </c>
      <c r="C119">
        <f>IF(Table1[[#This Row],[Attrition]]="Yes",1,0)</f>
        <v>0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3">
      <c r="A120">
        <v>36</v>
      </c>
      <c r="B120" t="s">
        <v>43</v>
      </c>
      <c r="C120">
        <f>IF(Table1[[#This Row],[Attrition]]="Yes",1,0)</f>
        <v>0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t="s">
        <v>43</v>
      </c>
      <c r="C121">
        <f>IF(Table1[[#This Row],[Attrition]]="Yes",1,0)</f>
        <v>0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3">
      <c r="A122">
        <v>30</v>
      </c>
      <c r="B122" t="s">
        <v>43</v>
      </c>
      <c r="C122">
        <f>IF(Table1[[#This Row],[Attrition]]="Yes",1,0)</f>
        <v>0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3">
      <c r="A123">
        <v>33</v>
      </c>
      <c r="B123" t="s">
        <v>43</v>
      </c>
      <c r="C123">
        <f>IF(Table1[[#This Row],[Attrition]]="Yes",1,0)</f>
        <v>0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3">
      <c r="A124">
        <v>56</v>
      </c>
      <c r="B124" t="s">
        <v>35</v>
      </c>
      <c r="C124">
        <f>IF(Table1[[#This Row],[Attrition]]="Yes",1,0)</f>
        <v>1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3">
      <c r="A125">
        <v>51</v>
      </c>
      <c r="B125" t="s">
        <v>43</v>
      </c>
      <c r="C125">
        <f>IF(Table1[[#This Row],[Attrition]]="Yes",1,0)</f>
        <v>0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3">
      <c r="A126">
        <v>31</v>
      </c>
      <c r="B126" t="s">
        <v>35</v>
      </c>
      <c r="C126">
        <f>IF(Table1[[#This Row],[Attrition]]="Yes",1,0)</f>
        <v>1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3">
      <c r="A127">
        <v>26</v>
      </c>
      <c r="B127" t="s">
        <v>43</v>
      </c>
      <c r="C127">
        <f>IF(Table1[[#This Row],[Attrition]]="Yes",1,0)</f>
        <v>0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3">
      <c r="A128">
        <v>58</v>
      </c>
      <c r="B128" t="s">
        <v>35</v>
      </c>
      <c r="C128">
        <f>IF(Table1[[#This Row],[Attrition]]="Yes",1,0)</f>
        <v>1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3">
      <c r="A129">
        <v>19</v>
      </c>
      <c r="B129" t="s">
        <v>35</v>
      </c>
      <c r="C129">
        <f>IF(Table1[[#This Row],[Attrition]]="Yes",1,0)</f>
        <v>1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>
        <v>22</v>
      </c>
      <c r="B130" t="s">
        <v>43</v>
      </c>
      <c r="C130">
        <f>IF(Table1[[#This Row],[Attrition]]="Yes",1,0)</f>
        <v>0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3">
      <c r="A131">
        <v>49</v>
      </c>
      <c r="B131" t="s">
        <v>43</v>
      </c>
      <c r="C131">
        <f>IF(Table1[[#This Row],[Attrition]]="Yes",1,0)</f>
        <v>0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3">
      <c r="A132">
        <v>43</v>
      </c>
      <c r="B132" t="s">
        <v>43</v>
      </c>
      <c r="C132">
        <f>IF(Table1[[#This Row],[Attrition]]="Yes",1,0)</f>
        <v>0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3">
      <c r="A133">
        <v>50</v>
      </c>
      <c r="B133" t="s">
        <v>43</v>
      </c>
      <c r="C133">
        <f>IF(Table1[[#This Row],[Attrition]]="Yes",1,0)</f>
        <v>0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3">
      <c r="A134">
        <v>31</v>
      </c>
      <c r="B134" t="s">
        <v>35</v>
      </c>
      <c r="C134">
        <f>IF(Table1[[#This Row],[Attrition]]="Yes",1,0)</f>
        <v>1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3">
      <c r="A135">
        <v>41</v>
      </c>
      <c r="B135" t="s">
        <v>43</v>
      </c>
      <c r="C135">
        <f>IF(Table1[[#This Row],[Attrition]]="Yes",1,0)</f>
        <v>0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3">
      <c r="A136">
        <v>26</v>
      </c>
      <c r="B136" t="s">
        <v>43</v>
      </c>
      <c r="C136">
        <f>IF(Table1[[#This Row],[Attrition]]="Yes",1,0)</f>
        <v>0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3">
      <c r="A137">
        <v>36</v>
      </c>
      <c r="B137" t="s">
        <v>43</v>
      </c>
      <c r="C137">
        <f>IF(Table1[[#This Row],[Attrition]]="Yes",1,0)</f>
        <v>0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3">
      <c r="A138">
        <v>51</v>
      </c>
      <c r="B138" t="s">
        <v>35</v>
      </c>
      <c r="C138">
        <f>IF(Table1[[#This Row],[Attrition]]="Yes",1,0)</f>
        <v>1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3">
      <c r="A139">
        <v>39</v>
      </c>
      <c r="B139" t="s">
        <v>43</v>
      </c>
      <c r="C139">
        <f>IF(Table1[[#This Row],[Attrition]]="Yes",1,0)</f>
        <v>0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3">
      <c r="A140">
        <v>25</v>
      </c>
      <c r="B140" t="s">
        <v>43</v>
      </c>
      <c r="C140">
        <f>IF(Table1[[#This Row],[Attrition]]="Yes",1,0)</f>
        <v>0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3">
      <c r="A141">
        <v>30</v>
      </c>
      <c r="B141" t="s">
        <v>43</v>
      </c>
      <c r="C141">
        <f>IF(Table1[[#This Row],[Attrition]]="Yes",1,0)</f>
        <v>0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3">
      <c r="A142">
        <v>32</v>
      </c>
      <c r="B142" t="s">
        <v>35</v>
      </c>
      <c r="C142">
        <f>IF(Table1[[#This Row],[Attrition]]="Yes",1,0)</f>
        <v>1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3">
      <c r="A143">
        <v>45</v>
      </c>
      <c r="B143" t="s">
        <v>43</v>
      </c>
      <c r="C143">
        <f>IF(Table1[[#This Row],[Attrition]]="Yes",1,0)</f>
        <v>0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3">
      <c r="A144">
        <v>38</v>
      </c>
      <c r="B144" t="s">
        <v>43</v>
      </c>
      <c r="C144">
        <f>IF(Table1[[#This Row],[Attrition]]="Yes",1,0)</f>
        <v>0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3">
      <c r="A145">
        <v>30</v>
      </c>
      <c r="B145" t="s">
        <v>43</v>
      </c>
      <c r="C145">
        <f>IF(Table1[[#This Row],[Attrition]]="Yes",1,0)</f>
        <v>0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3">
      <c r="A146">
        <v>32</v>
      </c>
      <c r="B146" t="s">
        <v>43</v>
      </c>
      <c r="C146">
        <f>IF(Table1[[#This Row],[Attrition]]="Yes",1,0)</f>
        <v>0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3">
      <c r="A147">
        <v>30</v>
      </c>
      <c r="B147" t="s">
        <v>43</v>
      </c>
      <c r="C147">
        <f>IF(Table1[[#This Row],[Attrition]]="Yes",1,0)</f>
        <v>0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3">
      <c r="A148">
        <v>30</v>
      </c>
      <c r="B148" t="s">
        <v>43</v>
      </c>
      <c r="C148">
        <f>IF(Table1[[#This Row],[Attrition]]="Yes",1,0)</f>
        <v>0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3">
      <c r="A149">
        <v>41</v>
      </c>
      <c r="B149" t="s">
        <v>43</v>
      </c>
      <c r="C149">
        <f>IF(Table1[[#This Row],[Attrition]]="Yes",1,0)</f>
        <v>0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3">
      <c r="A150">
        <v>41</v>
      </c>
      <c r="B150" t="s">
        <v>43</v>
      </c>
      <c r="C150">
        <f>IF(Table1[[#This Row],[Attrition]]="Yes",1,0)</f>
        <v>0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3">
      <c r="A151">
        <v>19</v>
      </c>
      <c r="B151" t="s">
        <v>43</v>
      </c>
      <c r="C151">
        <f>IF(Table1[[#This Row],[Attrition]]="Yes",1,0)</f>
        <v>0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t="s">
        <v>43</v>
      </c>
      <c r="C152">
        <f>IF(Table1[[#This Row],[Attrition]]="Yes",1,0)</f>
        <v>0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3">
      <c r="A153">
        <v>35</v>
      </c>
      <c r="B153" t="s">
        <v>43</v>
      </c>
      <c r="C153">
        <f>IF(Table1[[#This Row],[Attrition]]="Yes",1,0)</f>
        <v>0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3">
      <c r="A154">
        <v>53</v>
      </c>
      <c r="B154" t="s">
        <v>43</v>
      </c>
      <c r="C154">
        <f>IF(Table1[[#This Row],[Attrition]]="Yes",1,0)</f>
        <v>0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3">
      <c r="A155">
        <v>45</v>
      </c>
      <c r="B155" t="s">
        <v>43</v>
      </c>
      <c r="C155">
        <f>IF(Table1[[#This Row],[Attrition]]="Yes",1,0)</f>
        <v>0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3">
      <c r="A156">
        <v>32</v>
      </c>
      <c r="B156" t="s">
        <v>43</v>
      </c>
      <c r="C156">
        <f>IF(Table1[[#This Row],[Attrition]]="Yes",1,0)</f>
        <v>0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3">
      <c r="A157">
        <v>29</v>
      </c>
      <c r="B157" t="s">
        <v>43</v>
      </c>
      <c r="C157">
        <f>IF(Table1[[#This Row],[Attrition]]="Yes",1,0)</f>
        <v>0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3">
      <c r="A158">
        <v>51</v>
      </c>
      <c r="B158" t="s">
        <v>43</v>
      </c>
      <c r="C158">
        <f>IF(Table1[[#This Row],[Attrition]]="Yes",1,0)</f>
        <v>0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t="s">
        <v>43</v>
      </c>
      <c r="C159">
        <f>IF(Table1[[#This Row],[Attrition]]="Yes",1,0)</f>
        <v>0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t="s">
        <v>43</v>
      </c>
      <c r="C160">
        <f>IF(Table1[[#This Row],[Attrition]]="Yes",1,0)</f>
        <v>0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3">
      <c r="A161">
        <v>34</v>
      </c>
      <c r="B161" t="s">
        <v>43</v>
      </c>
      <c r="C161">
        <f>IF(Table1[[#This Row],[Attrition]]="Yes",1,0)</f>
        <v>0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3">
      <c r="A162">
        <v>22</v>
      </c>
      <c r="B162" t="s">
        <v>43</v>
      </c>
      <c r="C162">
        <f>IF(Table1[[#This Row],[Attrition]]="Yes",1,0)</f>
        <v>0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3">
      <c r="A163">
        <v>27</v>
      </c>
      <c r="B163" t="s">
        <v>43</v>
      </c>
      <c r="C163">
        <f>IF(Table1[[#This Row],[Attrition]]="Yes",1,0)</f>
        <v>0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3">
      <c r="A164">
        <v>28</v>
      </c>
      <c r="B164" t="s">
        <v>43</v>
      </c>
      <c r="C164">
        <f>IF(Table1[[#This Row],[Attrition]]="Yes",1,0)</f>
        <v>0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3">
      <c r="A165">
        <v>57</v>
      </c>
      <c r="B165" t="s">
        <v>43</v>
      </c>
      <c r="C165">
        <f>IF(Table1[[#This Row],[Attrition]]="Yes",1,0)</f>
        <v>0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3">
      <c r="A166">
        <v>27</v>
      </c>
      <c r="B166" t="s">
        <v>43</v>
      </c>
      <c r="C166">
        <f>IF(Table1[[#This Row],[Attrition]]="Yes",1,0)</f>
        <v>0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3">
      <c r="A167">
        <v>50</v>
      </c>
      <c r="B167" t="s">
        <v>43</v>
      </c>
      <c r="C167">
        <f>IF(Table1[[#This Row],[Attrition]]="Yes",1,0)</f>
        <v>0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3">
      <c r="A168">
        <v>41</v>
      </c>
      <c r="B168" t="s">
        <v>43</v>
      </c>
      <c r="C168">
        <f>IF(Table1[[#This Row],[Attrition]]="Yes",1,0)</f>
        <v>0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3">
      <c r="A169">
        <v>30</v>
      </c>
      <c r="B169" t="s">
        <v>43</v>
      </c>
      <c r="C169">
        <f>IF(Table1[[#This Row],[Attrition]]="Yes",1,0)</f>
        <v>0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3">
      <c r="A170">
        <v>38</v>
      </c>
      <c r="B170" t="s">
        <v>43</v>
      </c>
      <c r="C170">
        <f>IF(Table1[[#This Row],[Attrition]]="Yes",1,0)</f>
        <v>0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3">
      <c r="A171">
        <v>32</v>
      </c>
      <c r="B171" t="s">
        <v>43</v>
      </c>
      <c r="C171">
        <f>IF(Table1[[#This Row],[Attrition]]="Yes",1,0)</f>
        <v>0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3">
      <c r="A172">
        <v>27</v>
      </c>
      <c r="B172" t="s">
        <v>43</v>
      </c>
      <c r="C172">
        <f>IF(Table1[[#This Row],[Attrition]]="Yes",1,0)</f>
        <v>0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3">
      <c r="A173">
        <v>19</v>
      </c>
      <c r="B173" t="s">
        <v>35</v>
      </c>
      <c r="C173">
        <f>IF(Table1[[#This Row],[Attrition]]="Yes",1,0)</f>
        <v>1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36</v>
      </c>
      <c r="B174" t="s">
        <v>43</v>
      </c>
      <c r="C174">
        <f>IF(Table1[[#This Row],[Attrition]]="Yes",1,0)</f>
        <v>0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3">
      <c r="A175">
        <v>30</v>
      </c>
      <c r="B175" t="s">
        <v>43</v>
      </c>
      <c r="C175">
        <f>IF(Table1[[#This Row],[Attrition]]="Yes",1,0)</f>
        <v>0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3">
      <c r="A176">
        <v>45</v>
      </c>
      <c r="B176" t="s">
        <v>43</v>
      </c>
      <c r="C176">
        <f>IF(Table1[[#This Row],[Attrition]]="Yes",1,0)</f>
        <v>0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3">
      <c r="A177">
        <v>56</v>
      </c>
      <c r="B177" t="s">
        <v>43</v>
      </c>
      <c r="C177">
        <f>IF(Table1[[#This Row],[Attrition]]="Yes",1,0)</f>
        <v>0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3">
      <c r="A178">
        <v>33</v>
      </c>
      <c r="B178" t="s">
        <v>43</v>
      </c>
      <c r="C178">
        <f>IF(Table1[[#This Row],[Attrition]]="Yes",1,0)</f>
        <v>0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3">
      <c r="A179">
        <v>19</v>
      </c>
      <c r="B179" t="s">
        <v>35</v>
      </c>
      <c r="C179">
        <f>IF(Table1[[#This Row],[Attrition]]="Yes",1,0)</f>
        <v>1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3">
      <c r="A180">
        <v>46</v>
      </c>
      <c r="B180" t="s">
        <v>43</v>
      </c>
      <c r="C180">
        <f>IF(Table1[[#This Row],[Attrition]]="Yes",1,0)</f>
        <v>0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3">
      <c r="A181">
        <v>38</v>
      </c>
      <c r="B181" t="s">
        <v>43</v>
      </c>
      <c r="C181">
        <f>IF(Table1[[#This Row],[Attrition]]="Yes",1,0)</f>
        <v>0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3">
      <c r="A182">
        <v>31</v>
      </c>
      <c r="B182" t="s">
        <v>43</v>
      </c>
      <c r="C182">
        <f>IF(Table1[[#This Row],[Attrition]]="Yes",1,0)</f>
        <v>0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3">
      <c r="A183">
        <v>34</v>
      </c>
      <c r="B183" t="s">
        <v>43</v>
      </c>
      <c r="C183">
        <f>IF(Table1[[#This Row],[Attrition]]="Yes",1,0)</f>
        <v>0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3">
      <c r="A184">
        <v>41</v>
      </c>
      <c r="B184" t="s">
        <v>35</v>
      </c>
      <c r="C184">
        <f>IF(Table1[[#This Row],[Attrition]]="Yes",1,0)</f>
        <v>1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3">
      <c r="A185">
        <v>50</v>
      </c>
      <c r="B185" t="s">
        <v>43</v>
      </c>
      <c r="C185">
        <f>IF(Table1[[#This Row],[Attrition]]="Yes",1,0)</f>
        <v>0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3">
      <c r="A186">
        <v>53</v>
      </c>
      <c r="B186" t="s">
        <v>43</v>
      </c>
      <c r="C186">
        <f>IF(Table1[[#This Row],[Attrition]]="Yes",1,0)</f>
        <v>0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3">
      <c r="A187">
        <v>33</v>
      </c>
      <c r="B187" t="s">
        <v>43</v>
      </c>
      <c r="C187">
        <f>IF(Table1[[#This Row],[Attrition]]="Yes",1,0)</f>
        <v>0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3">
      <c r="A188">
        <v>40</v>
      </c>
      <c r="B188" t="s">
        <v>43</v>
      </c>
      <c r="C188">
        <f>IF(Table1[[#This Row],[Attrition]]="Yes",1,0)</f>
        <v>0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3">
      <c r="A189">
        <v>55</v>
      </c>
      <c r="B189" t="s">
        <v>43</v>
      </c>
      <c r="C189">
        <f>IF(Table1[[#This Row],[Attrition]]="Yes",1,0)</f>
        <v>0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3">
      <c r="A190">
        <v>34</v>
      </c>
      <c r="B190" t="s">
        <v>43</v>
      </c>
      <c r="C190">
        <f>IF(Table1[[#This Row],[Attrition]]="Yes",1,0)</f>
        <v>0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3">
      <c r="A191">
        <v>51</v>
      </c>
      <c r="B191" t="s">
        <v>43</v>
      </c>
      <c r="C191">
        <f>IF(Table1[[#This Row],[Attrition]]="Yes",1,0)</f>
        <v>0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3">
      <c r="A192">
        <v>52</v>
      </c>
      <c r="B192" t="s">
        <v>43</v>
      </c>
      <c r="C192">
        <f>IF(Table1[[#This Row],[Attrition]]="Yes",1,0)</f>
        <v>0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3">
      <c r="A193">
        <v>27</v>
      </c>
      <c r="B193" t="s">
        <v>43</v>
      </c>
      <c r="C193">
        <f>IF(Table1[[#This Row],[Attrition]]="Yes",1,0)</f>
        <v>0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3">
      <c r="A194">
        <v>35</v>
      </c>
      <c r="B194" t="s">
        <v>35</v>
      </c>
      <c r="C194">
        <f>IF(Table1[[#This Row],[Attrition]]="Yes",1,0)</f>
        <v>1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3">
      <c r="A195">
        <v>43</v>
      </c>
      <c r="B195" t="s">
        <v>43</v>
      </c>
      <c r="C195">
        <f>IF(Table1[[#This Row],[Attrition]]="Yes",1,0)</f>
        <v>0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3">
      <c r="A196">
        <v>45</v>
      </c>
      <c r="B196" t="s">
        <v>43</v>
      </c>
      <c r="C196">
        <f>IF(Table1[[#This Row],[Attrition]]="Yes",1,0)</f>
        <v>0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3">
      <c r="A197">
        <v>37</v>
      </c>
      <c r="B197" t="s">
        <v>43</v>
      </c>
      <c r="C197">
        <f>IF(Table1[[#This Row],[Attrition]]="Yes",1,0)</f>
        <v>0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3">
      <c r="A198">
        <v>35</v>
      </c>
      <c r="B198" t="s">
        <v>43</v>
      </c>
      <c r="C198">
        <f>IF(Table1[[#This Row],[Attrition]]="Yes",1,0)</f>
        <v>0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3">
      <c r="A199">
        <v>42</v>
      </c>
      <c r="B199" t="s">
        <v>43</v>
      </c>
      <c r="C199">
        <f>IF(Table1[[#This Row],[Attrition]]="Yes",1,0)</f>
        <v>0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3">
      <c r="A200">
        <v>38</v>
      </c>
      <c r="B200" t="s">
        <v>43</v>
      </c>
      <c r="C200">
        <f>IF(Table1[[#This Row],[Attrition]]="Yes",1,0)</f>
        <v>0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t="s">
        <v>43</v>
      </c>
      <c r="C201">
        <f>IF(Table1[[#This Row],[Attrition]]="Yes",1,0)</f>
        <v>0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3">
      <c r="A202">
        <v>27</v>
      </c>
      <c r="B202" t="s">
        <v>43</v>
      </c>
      <c r="C202">
        <f>IF(Table1[[#This Row],[Attrition]]="Yes",1,0)</f>
        <v>0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3">
      <c r="A203">
        <v>49</v>
      </c>
      <c r="B203" t="s">
        <v>43</v>
      </c>
      <c r="C203">
        <f>IF(Table1[[#This Row],[Attrition]]="Yes",1,0)</f>
        <v>0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3">
      <c r="A204">
        <v>34</v>
      </c>
      <c r="B204" t="s">
        <v>43</v>
      </c>
      <c r="C204">
        <f>IF(Table1[[#This Row],[Attrition]]="Yes",1,0)</f>
        <v>0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3">
      <c r="A205">
        <v>40</v>
      </c>
      <c r="B205" t="s">
        <v>43</v>
      </c>
      <c r="C205">
        <f>IF(Table1[[#This Row],[Attrition]]="Yes",1,0)</f>
        <v>0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3">
      <c r="A206">
        <v>38</v>
      </c>
      <c r="B206" t="s">
        <v>35</v>
      </c>
      <c r="C206">
        <f>IF(Table1[[#This Row],[Attrition]]="Yes",1,0)</f>
        <v>1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3">
      <c r="A207">
        <v>29</v>
      </c>
      <c r="B207" t="s">
        <v>35</v>
      </c>
      <c r="C207">
        <f>IF(Table1[[#This Row],[Attrition]]="Yes",1,0)</f>
        <v>1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3">
      <c r="A208">
        <v>22</v>
      </c>
      <c r="B208" t="s">
        <v>43</v>
      </c>
      <c r="C208">
        <f>IF(Table1[[#This Row],[Attrition]]="Yes",1,0)</f>
        <v>0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3">
      <c r="A209">
        <v>36</v>
      </c>
      <c r="B209" t="s">
        <v>43</v>
      </c>
      <c r="C209">
        <f>IF(Table1[[#This Row],[Attrition]]="Yes",1,0)</f>
        <v>0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3">
      <c r="A210">
        <v>40</v>
      </c>
      <c r="B210" t="s">
        <v>43</v>
      </c>
      <c r="C210">
        <f>IF(Table1[[#This Row],[Attrition]]="Yes",1,0)</f>
        <v>0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3">
      <c r="A211">
        <v>46</v>
      </c>
      <c r="B211" t="s">
        <v>43</v>
      </c>
      <c r="C211">
        <f>IF(Table1[[#This Row],[Attrition]]="Yes",1,0)</f>
        <v>0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3">
      <c r="A212">
        <v>32</v>
      </c>
      <c r="B212" t="s">
        <v>35</v>
      </c>
      <c r="C212">
        <f>IF(Table1[[#This Row],[Attrition]]="Yes",1,0)</f>
        <v>1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3">
      <c r="A213">
        <v>30</v>
      </c>
      <c r="B213" t="s">
        <v>43</v>
      </c>
      <c r="C213">
        <f>IF(Table1[[#This Row],[Attrition]]="Yes",1,0)</f>
        <v>0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3">
      <c r="A214">
        <v>27</v>
      </c>
      <c r="B214" t="s">
        <v>43</v>
      </c>
      <c r="C214">
        <f>IF(Table1[[#This Row],[Attrition]]="Yes",1,0)</f>
        <v>0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3">
      <c r="A215">
        <v>51</v>
      </c>
      <c r="B215" t="s">
        <v>43</v>
      </c>
      <c r="C215">
        <f>IF(Table1[[#This Row],[Attrition]]="Yes",1,0)</f>
        <v>0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3">
      <c r="A216">
        <v>30</v>
      </c>
      <c r="B216" t="s">
        <v>35</v>
      </c>
      <c r="C216">
        <f>IF(Table1[[#This Row],[Attrition]]="Yes",1,0)</f>
        <v>1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3">
      <c r="A217">
        <v>41</v>
      </c>
      <c r="B217" t="s">
        <v>43</v>
      </c>
      <c r="C217">
        <f>IF(Table1[[#This Row],[Attrition]]="Yes",1,0)</f>
        <v>0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t="s">
        <v>35</v>
      </c>
      <c r="C218">
        <f>IF(Table1[[#This Row],[Attrition]]="Yes",1,0)</f>
        <v>1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3">
      <c r="A219">
        <v>29</v>
      </c>
      <c r="B219" t="s">
        <v>35</v>
      </c>
      <c r="C219">
        <f>IF(Table1[[#This Row],[Attrition]]="Yes",1,0)</f>
        <v>1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3">
      <c r="A220">
        <v>45</v>
      </c>
      <c r="B220" t="s">
        <v>43</v>
      </c>
      <c r="C220">
        <f>IF(Table1[[#This Row],[Attrition]]="Yes",1,0)</f>
        <v>0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3">
      <c r="A221">
        <v>54</v>
      </c>
      <c r="B221" t="s">
        <v>43</v>
      </c>
      <c r="C221">
        <f>IF(Table1[[#This Row],[Attrition]]="Yes",1,0)</f>
        <v>0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3">
      <c r="A222">
        <v>36</v>
      </c>
      <c r="B222" t="s">
        <v>43</v>
      </c>
      <c r="C222">
        <f>IF(Table1[[#This Row],[Attrition]]="Yes",1,0)</f>
        <v>0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3">
      <c r="A223">
        <v>33</v>
      </c>
      <c r="B223" t="s">
        <v>43</v>
      </c>
      <c r="C223">
        <f>IF(Table1[[#This Row],[Attrition]]="Yes",1,0)</f>
        <v>0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3">
      <c r="A224">
        <v>37</v>
      </c>
      <c r="B224" t="s">
        <v>43</v>
      </c>
      <c r="C224">
        <f>IF(Table1[[#This Row],[Attrition]]="Yes",1,0)</f>
        <v>0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3">
      <c r="A225">
        <v>38</v>
      </c>
      <c r="B225" t="s">
        <v>43</v>
      </c>
      <c r="C225">
        <f>IF(Table1[[#This Row],[Attrition]]="Yes",1,0)</f>
        <v>0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3">
      <c r="A226">
        <v>31</v>
      </c>
      <c r="B226" t="s">
        <v>43</v>
      </c>
      <c r="C226">
        <f>IF(Table1[[#This Row],[Attrition]]="Yes",1,0)</f>
        <v>0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3">
      <c r="A227">
        <v>59</v>
      </c>
      <c r="B227" t="s">
        <v>43</v>
      </c>
      <c r="C227">
        <f>IF(Table1[[#This Row],[Attrition]]="Yes",1,0)</f>
        <v>0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t="s">
        <v>43</v>
      </c>
      <c r="C228">
        <f>IF(Table1[[#This Row],[Attrition]]="Yes",1,0)</f>
        <v>0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3">
      <c r="A229">
        <v>29</v>
      </c>
      <c r="B229" t="s">
        <v>43</v>
      </c>
      <c r="C229">
        <f>IF(Table1[[#This Row],[Attrition]]="Yes",1,0)</f>
        <v>0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3">
      <c r="A230">
        <v>35</v>
      </c>
      <c r="B230" t="s">
        <v>43</v>
      </c>
      <c r="C230">
        <f>IF(Table1[[#This Row],[Attrition]]="Yes",1,0)</f>
        <v>0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3">
      <c r="A231">
        <v>29</v>
      </c>
      <c r="B231" t="s">
        <v>35</v>
      </c>
      <c r="C231">
        <f>IF(Table1[[#This Row],[Attrition]]="Yes",1,0)</f>
        <v>1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3">
      <c r="A232">
        <v>52</v>
      </c>
      <c r="B232" t="s">
        <v>43</v>
      </c>
      <c r="C232">
        <f>IF(Table1[[#This Row],[Attrition]]="Yes",1,0)</f>
        <v>0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3">
      <c r="A233">
        <v>42</v>
      </c>
      <c r="B233" t="s">
        <v>43</v>
      </c>
      <c r="C233">
        <f>IF(Table1[[#This Row],[Attrition]]="Yes",1,0)</f>
        <v>0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3">
      <c r="A234">
        <v>59</v>
      </c>
      <c r="B234" t="s">
        <v>43</v>
      </c>
      <c r="C234">
        <f>IF(Table1[[#This Row],[Attrition]]="Yes",1,0)</f>
        <v>0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3">
      <c r="A235">
        <v>50</v>
      </c>
      <c r="B235" t="s">
        <v>43</v>
      </c>
      <c r="C235">
        <f>IF(Table1[[#This Row],[Attrition]]="Yes",1,0)</f>
        <v>0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3">
      <c r="A236">
        <v>33</v>
      </c>
      <c r="B236" t="s">
        <v>35</v>
      </c>
      <c r="C236">
        <f>IF(Table1[[#This Row],[Attrition]]="Yes",1,0)</f>
        <v>1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3">
      <c r="A237">
        <v>43</v>
      </c>
      <c r="B237" t="s">
        <v>43</v>
      </c>
      <c r="C237">
        <f>IF(Table1[[#This Row],[Attrition]]="Yes",1,0)</f>
        <v>0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3">
      <c r="A238">
        <v>33</v>
      </c>
      <c r="B238" t="s">
        <v>35</v>
      </c>
      <c r="C238">
        <f>IF(Table1[[#This Row],[Attrition]]="Yes",1,0)</f>
        <v>1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3">
      <c r="A239">
        <v>52</v>
      </c>
      <c r="B239" t="s">
        <v>43</v>
      </c>
      <c r="C239">
        <f>IF(Table1[[#This Row],[Attrition]]="Yes",1,0)</f>
        <v>0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3">
      <c r="A240">
        <v>32</v>
      </c>
      <c r="B240" t="s">
        <v>43</v>
      </c>
      <c r="C240">
        <f>IF(Table1[[#This Row],[Attrition]]="Yes",1,0)</f>
        <v>0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3">
      <c r="A241">
        <v>32</v>
      </c>
      <c r="B241" t="s">
        <v>35</v>
      </c>
      <c r="C241">
        <f>IF(Table1[[#This Row],[Attrition]]="Yes",1,0)</f>
        <v>1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3">
      <c r="A242">
        <v>39</v>
      </c>
      <c r="B242" t="s">
        <v>43</v>
      </c>
      <c r="C242">
        <f>IF(Table1[[#This Row],[Attrition]]="Yes",1,0)</f>
        <v>0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3">
      <c r="A243">
        <v>32</v>
      </c>
      <c r="B243" t="s">
        <v>43</v>
      </c>
      <c r="C243">
        <f>IF(Table1[[#This Row],[Attrition]]="Yes",1,0)</f>
        <v>0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3">
      <c r="A244">
        <v>41</v>
      </c>
      <c r="B244" t="s">
        <v>43</v>
      </c>
      <c r="C244">
        <f>IF(Table1[[#This Row],[Attrition]]="Yes",1,0)</f>
        <v>0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t="s">
        <v>43</v>
      </c>
      <c r="C245">
        <f>IF(Table1[[#This Row],[Attrition]]="Yes",1,0)</f>
        <v>0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3">
      <c r="A246">
        <v>45</v>
      </c>
      <c r="B246" t="s">
        <v>43</v>
      </c>
      <c r="C246">
        <f>IF(Table1[[#This Row],[Attrition]]="Yes",1,0)</f>
        <v>0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3">
      <c r="A247">
        <v>31</v>
      </c>
      <c r="B247" t="s">
        <v>43</v>
      </c>
      <c r="C247">
        <f>IF(Table1[[#This Row],[Attrition]]="Yes",1,0)</f>
        <v>0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3">
      <c r="A248">
        <v>33</v>
      </c>
      <c r="B248" t="s">
        <v>43</v>
      </c>
      <c r="C248">
        <f>IF(Table1[[#This Row],[Attrition]]="Yes",1,0)</f>
        <v>0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3">
      <c r="A249">
        <v>34</v>
      </c>
      <c r="B249" t="s">
        <v>43</v>
      </c>
      <c r="C249">
        <f>IF(Table1[[#This Row],[Attrition]]="Yes",1,0)</f>
        <v>0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3">
      <c r="A250">
        <v>37</v>
      </c>
      <c r="B250" t="s">
        <v>43</v>
      </c>
      <c r="C250">
        <f>IF(Table1[[#This Row],[Attrition]]="Yes",1,0)</f>
        <v>0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3">
      <c r="A251">
        <v>45</v>
      </c>
      <c r="B251" t="s">
        <v>43</v>
      </c>
      <c r="C251">
        <f>IF(Table1[[#This Row],[Attrition]]="Yes",1,0)</f>
        <v>0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3">
      <c r="A252">
        <v>37</v>
      </c>
      <c r="B252" t="s">
        <v>35</v>
      </c>
      <c r="C252">
        <f>IF(Table1[[#This Row],[Attrition]]="Yes",1,0)</f>
        <v>1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3">
      <c r="A253">
        <v>39</v>
      </c>
      <c r="B253" t="s">
        <v>43</v>
      </c>
      <c r="C253">
        <f>IF(Table1[[#This Row],[Attrition]]="Yes",1,0)</f>
        <v>0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3">
      <c r="A254">
        <v>29</v>
      </c>
      <c r="B254" t="s">
        <v>43</v>
      </c>
      <c r="C254">
        <f>IF(Table1[[#This Row],[Attrition]]="Yes",1,0)</f>
        <v>0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3">
      <c r="A255">
        <v>42</v>
      </c>
      <c r="B255" t="s">
        <v>43</v>
      </c>
      <c r="C255">
        <f>IF(Table1[[#This Row],[Attrition]]="Yes",1,0)</f>
        <v>0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3">
      <c r="A256">
        <v>29</v>
      </c>
      <c r="B256" t="s">
        <v>43</v>
      </c>
      <c r="C256">
        <f>IF(Table1[[#This Row],[Attrition]]="Yes",1,0)</f>
        <v>0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3">
      <c r="A257">
        <v>25</v>
      </c>
      <c r="B257" t="s">
        <v>43</v>
      </c>
      <c r="C257">
        <f>IF(Table1[[#This Row],[Attrition]]="Yes",1,0)</f>
        <v>0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3">
      <c r="A258">
        <v>42</v>
      </c>
      <c r="B258" t="s">
        <v>43</v>
      </c>
      <c r="C258">
        <f>IF(Table1[[#This Row],[Attrition]]="Yes",1,0)</f>
        <v>0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3">
      <c r="A259">
        <v>40</v>
      </c>
      <c r="B259" t="s">
        <v>43</v>
      </c>
      <c r="C259">
        <f>IF(Table1[[#This Row],[Attrition]]="Yes",1,0)</f>
        <v>0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3">
      <c r="A260">
        <v>51</v>
      </c>
      <c r="B260" t="s">
        <v>43</v>
      </c>
      <c r="C260">
        <f>IF(Table1[[#This Row],[Attrition]]="Yes",1,0)</f>
        <v>0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t="s">
        <v>35</v>
      </c>
      <c r="C261">
        <f>IF(Table1[[#This Row],[Attrition]]="Yes",1,0)</f>
        <v>1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3">
      <c r="A262">
        <v>32</v>
      </c>
      <c r="B262" t="s">
        <v>43</v>
      </c>
      <c r="C262">
        <f>IF(Table1[[#This Row],[Attrition]]="Yes",1,0)</f>
        <v>0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3">
      <c r="A263">
        <v>38</v>
      </c>
      <c r="B263" t="s">
        <v>43</v>
      </c>
      <c r="C263">
        <f>IF(Table1[[#This Row],[Attrition]]="Yes",1,0)</f>
        <v>0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3">
      <c r="A264">
        <v>32</v>
      </c>
      <c r="B264" t="s">
        <v>43</v>
      </c>
      <c r="C264">
        <f>IF(Table1[[#This Row],[Attrition]]="Yes",1,0)</f>
        <v>0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3">
      <c r="A265">
        <v>46</v>
      </c>
      <c r="B265" t="s">
        <v>43</v>
      </c>
      <c r="C265">
        <f>IF(Table1[[#This Row],[Attrition]]="Yes",1,0)</f>
        <v>0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3">
      <c r="A266">
        <v>28</v>
      </c>
      <c r="B266" t="s">
        <v>35</v>
      </c>
      <c r="C266">
        <f>IF(Table1[[#This Row],[Attrition]]="Yes",1,0)</f>
        <v>1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29</v>
      </c>
      <c r="B267" t="s">
        <v>43</v>
      </c>
      <c r="C267">
        <f>IF(Table1[[#This Row],[Attrition]]="Yes",1,0)</f>
        <v>0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t="s">
        <v>43</v>
      </c>
      <c r="C268">
        <f>IF(Table1[[#This Row],[Attrition]]="Yes",1,0)</f>
        <v>0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3">
      <c r="A269">
        <v>25</v>
      </c>
      <c r="B269" t="s">
        <v>43</v>
      </c>
      <c r="C269">
        <f>IF(Table1[[#This Row],[Attrition]]="Yes",1,0)</f>
        <v>0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3">
      <c r="A270">
        <v>45</v>
      </c>
      <c r="B270" t="s">
        <v>43</v>
      </c>
      <c r="C270">
        <f>IF(Table1[[#This Row],[Attrition]]="Yes",1,0)</f>
        <v>0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3">
      <c r="A271">
        <v>36</v>
      </c>
      <c r="B271" t="s">
        <v>43</v>
      </c>
      <c r="C271">
        <f>IF(Table1[[#This Row],[Attrition]]="Yes",1,0)</f>
        <v>0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3">
      <c r="A272">
        <v>55</v>
      </c>
      <c r="B272" t="s">
        <v>43</v>
      </c>
      <c r="C272">
        <f>IF(Table1[[#This Row],[Attrition]]="Yes",1,0)</f>
        <v>0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3">
      <c r="A273">
        <v>47</v>
      </c>
      <c r="B273" t="s">
        <v>35</v>
      </c>
      <c r="C273">
        <f>IF(Table1[[#This Row],[Attrition]]="Yes",1,0)</f>
        <v>1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3">
      <c r="A274">
        <v>28</v>
      </c>
      <c r="B274" t="s">
        <v>43</v>
      </c>
      <c r="C274">
        <f>IF(Table1[[#This Row],[Attrition]]="Yes",1,0)</f>
        <v>0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3">
      <c r="A275">
        <v>37</v>
      </c>
      <c r="B275" t="s">
        <v>43</v>
      </c>
      <c r="C275">
        <f>IF(Table1[[#This Row],[Attrition]]="Yes",1,0)</f>
        <v>0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3">
      <c r="A276">
        <v>21</v>
      </c>
      <c r="B276" t="s">
        <v>43</v>
      </c>
      <c r="C276">
        <f>IF(Table1[[#This Row],[Attrition]]="Yes",1,0)</f>
        <v>0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3">
      <c r="A277">
        <v>37</v>
      </c>
      <c r="B277" t="s">
        <v>43</v>
      </c>
      <c r="C277">
        <f>IF(Table1[[#This Row],[Attrition]]="Yes",1,0)</f>
        <v>0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3">
      <c r="A278">
        <v>35</v>
      </c>
      <c r="B278" t="s">
        <v>43</v>
      </c>
      <c r="C278">
        <f>IF(Table1[[#This Row],[Attrition]]="Yes",1,0)</f>
        <v>0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3">
      <c r="A279">
        <v>38</v>
      </c>
      <c r="B279" t="s">
        <v>43</v>
      </c>
      <c r="C279">
        <f>IF(Table1[[#This Row],[Attrition]]="Yes",1,0)</f>
        <v>0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3">
      <c r="A280">
        <v>26</v>
      </c>
      <c r="B280" t="s">
        <v>43</v>
      </c>
      <c r="C280">
        <f>IF(Table1[[#This Row],[Attrition]]="Yes",1,0)</f>
        <v>0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3">
      <c r="A281">
        <v>50</v>
      </c>
      <c r="B281" t="s">
        <v>43</v>
      </c>
      <c r="C281">
        <f>IF(Table1[[#This Row],[Attrition]]="Yes",1,0)</f>
        <v>0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3">
      <c r="A282">
        <v>53</v>
      </c>
      <c r="B282" t="s">
        <v>43</v>
      </c>
      <c r="C282">
        <f>IF(Table1[[#This Row],[Attrition]]="Yes",1,0)</f>
        <v>0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3">
      <c r="A283">
        <v>42</v>
      </c>
      <c r="B283" t="s">
        <v>43</v>
      </c>
      <c r="C283">
        <f>IF(Table1[[#This Row],[Attrition]]="Yes",1,0)</f>
        <v>0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3">
      <c r="A284">
        <v>29</v>
      </c>
      <c r="B284" t="s">
        <v>43</v>
      </c>
      <c r="C284">
        <f>IF(Table1[[#This Row],[Attrition]]="Yes",1,0)</f>
        <v>0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3">
      <c r="A285">
        <v>55</v>
      </c>
      <c r="B285" t="s">
        <v>43</v>
      </c>
      <c r="C285">
        <f>IF(Table1[[#This Row],[Attrition]]="Yes",1,0)</f>
        <v>0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3">
      <c r="A286">
        <v>26</v>
      </c>
      <c r="B286" t="s">
        <v>43</v>
      </c>
      <c r="C286">
        <f>IF(Table1[[#This Row],[Attrition]]="Yes",1,0)</f>
        <v>0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3">
      <c r="A287">
        <v>37</v>
      </c>
      <c r="B287" t="s">
        <v>43</v>
      </c>
      <c r="C287">
        <f>IF(Table1[[#This Row],[Attrition]]="Yes",1,0)</f>
        <v>0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3">
      <c r="A288">
        <v>44</v>
      </c>
      <c r="B288" t="s">
        <v>35</v>
      </c>
      <c r="C288">
        <f>IF(Table1[[#This Row],[Attrition]]="Yes",1,0)</f>
        <v>1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3">
      <c r="A289">
        <v>38</v>
      </c>
      <c r="B289" t="s">
        <v>43</v>
      </c>
      <c r="C289">
        <f>IF(Table1[[#This Row],[Attrition]]="Yes",1,0)</f>
        <v>0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3">
      <c r="A290">
        <v>26</v>
      </c>
      <c r="B290" t="s">
        <v>35</v>
      </c>
      <c r="C290">
        <f>IF(Table1[[#This Row],[Attrition]]="Yes",1,0)</f>
        <v>1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3">
      <c r="A291">
        <v>28</v>
      </c>
      <c r="B291" t="s">
        <v>43</v>
      </c>
      <c r="C291">
        <f>IF(Table1[[#This Row],[Attrition]]="Yes",1,0)</f>
        <v>0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3">
      <c r="A292">
        <v>49</v>
      </c>
      <c r="B292" t="s">
        <v>43</v>
      </c>
      <c r="C292">
        <f>IF(Table1[[#This Row],[Attrition]]="Yes",1,0)</f>
        <v>0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3">
      <c r="A293">
        <v>36</v>
      </c>
      <c r="B293" t="s">
        <v>43</v>
      </c>
      <c r="C293">
        <f>IF(Table1[[#This Row],[Attrition]]="Yes",1,0)</f>
        <v>0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3">
      <c r="A294">
        <v>31</v>
      </c>
      <c r="B294" t="s">
        <v>43</v>
      </c>
      <c r="C294">
        <f>IF(Table1[[#This Row],[Attrition]]="Yes",1,0)</f>
        <v>0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3">
      <c r="A295">
        <v>26</v>
      </c>
      <c r="B295" t="s">
        <v>35</v>
      </c>
      <c r="C295">
        <f>IF(Table1[[#This Row],[Attrition]]="Yes",1,0)</f>
        <v>1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3">
      <c r="A296">
        <v>37</v>
      </c>
      <c r="B296" t="s">
        <v>43</v>
      </c>
      <c r="C296">
        <f>IF(Table1[[#This Row],[Attrition]]="Yes",1,0)</f>
        <v>0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3">
      <c r="A297">
        <v>42</v>
      </c>
      <c r="B297" t="s">
        <v>43</v>
      </c>
      <c r="C297">
        <f>IF(Table1[[#This Row],[Attrition]]="Yes",1,0)</f>
        <v>0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3">
      <c r="A298">
        <v>18</v>
      </c>
      <c r="B298" t="s">
        <v>35</v>
      </c>
      <c r="C298">
        <f>IF(Table1[[#This Row],[Attrition]]="Yes",1,0)</f>
        <v>1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>
        <v>35</v>
      </c>
      <c r="B299" t="s">
        <v>43</v>
      </c>
      <c r="C299">
        <f>IF(Table1[[#This Row],[Attrition]]="Yes",1,0)</f>
        <v>0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3">
      <c r="A300">
        <v>36</v>
      </c>
      <c r="B300" t="s">
        <v>43</v>
      </c>
      <c r="C300">
        <f>IF(Table1[[#This Row],[Attrition]]="Yes",1,0)</f>
        <v>0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t="s">
        <v>43</v>
      </c>
      <c r="C301">
        <f>IF(Table1[[#This Row],[Attrition]]="Yes",1,0)</f>
        <v>0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3">
      <c r="A302">
        <v>41</v>
      </c>
      <c r="B302" t="s">
        <v>43</v>
      </c>
      <c r="C302">
        <f>IF(Table1[[#This Row],[Attrition]]="Yes",1,0)</f>
        <v>0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3">
      <c r="A303">
        <v>18</v>
      </c>
      <c r="B303" t="s">
        <v>43</v>
      </c>
      <c r="C303">
        <f>IF(Table1[[#This Row],[Attrition]]="Yes",1,0)</f>
        <v>0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t="s">
        <v>43</v>
      </c>
      <c r="C304">
        <f>IF(Table1[[#This Row],[Attrition]]="Yes",1,0)</f>
        <v>0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3">
      <c r="A305">
        <v>31</v>
      </c>
      <c r="B305" t="s">
        <v>43</v>
      </c>
      <c r="C305">
        <f>IF(Table1[[#This Row],[Attrition]]="Yes",1,0)</f>
        <v>0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3">
      <c r="A306">
        <v>39</v>
      </c>
      <c r="B306" t="s">
        <v>43</v>
      </c>
      <c r="C306">
        <f>IF(Table1[[#This Row],[Attrition]]="Yes",1,0)</f>
        <v>0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3">
      <c r="A307">
        <v>36</v>
      </c>
      <c r="B307" t="s">
        <v>43</v>
      </c>
      <c r="C307">
        <f>IF(Table1[[#This Row],[Attrition]]="Yes",1,0)</f>
        <v>0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3">
      <c r="A308">
        <v>32</v>
      </c>
      <c r="B308" t="s">
        <v>43</v>
      </c>
      <c r="C308">
        <f>IF(Table1[[#This Row],[Attrition]]="Yes",1,0)</f>
        <v>0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3">
      <c r="A309">
        <v>38</v>
      </c>
      <c r="B309" t="s">
        <v>43</v>
      </c>
      <c r="C309">
        <f>IF(Table1[[#This Row],[Attrition]]="Yes",1,0)</f>
        <v>0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3">
      <c r="A310">
        <v>58</v>
      </c>
      <c r="B310" t="s">
        <v>43</v>
      </c>
      <c r="C310">
        <f>IF(Table1[[#This Row],[Attrition]]="Yes",1,0)</f>
        <v>0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3">
      <c r="A311">
        <v>31</v>
      </c>
      <c r="B311" t="s">
        <v>43</v>
      </c>
      <c r="C311">
        <f>IF(Table1[[#This Row],[Attrition]]="Yes",1,0)</f>
        <v>0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3">
      <c r="A312">
        <v>31</v>
      </c>
      <c r="B312" t="s">
        <v>43</v>
      </c>
      <c r="C312">
        <f>IF(Table1[[#This Row],[Attrition]]="Yes",1,0)</f>
        <v>0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3">
      <c r="A313">
        <v>45</v>
      </c>
      <c r="B313" t="s">
        <v>43</v>
      </c>
      <c r="C313">
        <f>IF(Table1[[#This Row],[Attrition]]="Yes",1,0)</f>
        <v>0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3">
      <c r="A314">
        <v>31</v>
      </c>
      <c r="B314" t="s">
        <v>43</v>
      </c>
      <c r="C314">
        <f>IF(Table1[[#This Row],[Attrition]]="Yes",1,0)</f>
        <v>0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3">
      <c r="A315">
        <v>33</v>
      </c>
      <c r="B315" t="s">
        <v>43</v>
      </c>
      <c r="C315">
        <f>IF(Table1[[#This Row],[Attrition]]="Yes",1,0)</f>
        <v>0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3">
      <c r="A316">
        <v>39</v>
      </c>
      <c r="B316" t="s">
        <v>43</v>
      </c>
      <c r="C316">
        <f>IF(Table1[[#This Row],[Attrition]]="Yes",1,0)</f>
        <v>0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3">
      <c r="A317">
        <v>43</v>
      </c>
      <c r="B317" t="s">
        <v>43</v>
      </c>
      <c r="C317">
        <f>IF(Table1[[#This Row],[Attrition]]="Yes",1,0)</f>
        <v>0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3">
      <c r="A318">
        <v>49</v>
      </c>
      <c r="B318" t="s">
        <v>43</v>
      </c>
      <c r="C318">
        <f>IF(Table1[[#This Row],[Attrition]]="Yes",1,0)</f>
        <v>0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3">
      <c r="A319">
        <v>52</v>
      </c>
      <c r="B319" t="s">
        <v>35</v>
      </c>
      <c r="C319">
        <f>IF(Table1[[#This Row],[Attrition]]="Yes",1,0)</f>
        <v>1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3">
      <c r="A320">
        <v>27</v>
      </c>
      <c r="B320" t="s">
        <v>43</v>
      </c>
      <c r="C320">
        <f>IF(Table1[[#This Row],[Attrition]]="Yes",1,0)</f>
        <v>0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3">
      <c r="A321">
        <v>32</v>
      </c>
      <c r="B321" t="s">
        <v>43</v>
      </c>
      <c r="C321">
        <f>IF(Table1[[#This Row],[Attrition]]="Yes",1,0)</f>
        <v>0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3">
      <c r="A322">
        <v>27</v>
      </c>
      <c r="B322" t="s">
        <v>43</v>
      </c>
      <c r="C322">
        <f>IF(Table1[[#This Row],[Attrition]]="Yes",1,0)</f>
        <v>0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3">
      <c r="A323">
        <v>31</v>
      </c>
      <c r="B323" t="s">
        <v>43</v>
      </c>
      <c r="C323">
        <f>IF(Table1[[#This Row],[Attrition]]="Yes",1,0)</f>
        <v>0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3">
      <c r="A324">
        <v>32</v>
      </c>
      <c r="B324" t="s">
        <v>43</v>
      </c>
      <c r="C324">
        <f>IF(Table1[[#This Row],[Attrition]]="Yes",1,0)</f>
        <v>0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3">
      <c r="A325">
        <v>28</v>
      </c>
      <c r="B325" t="s">
        <v>35</v>
      </c>
      <c r="C325">
        <f>IF(Table1[[#This Row],[Attrition]]="Yes",1,0)</f>
        <v>1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3">
      <c r="A326">
        <v>30</v>
      </c>
      <c r="B326" t="s">
        <v>43</v>
      </c>
      <c r="C326">
        <f>IF(Table1[[#This Row],[Attrition]]="Yes",1,0)</f>
        <v>0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3">
      <c r="A327">
        <v>31</v>
      </c>
      <c r="B327" t="s">
        <v>43</v>
      </c>
      <c r="C327">
        <f>IF(Table1[[#This Row],[Attrition]]="Yes",1,0)</f>
        <v>0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3">
      <c r="A328">
        <v>39</v>
      </c>
      <c r="B328" t="s">
        <v>43</v>
      </c>
      <c r="C328">
        <f>IF(Table1[[#This Row],[Attrition]]="Yes",1,0)</f>
        <v>0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3">
      <c r="A329">
        <v>39</v>
      </c>
      <c r="B329" t="s">
        <v>35</v>
      </c>
      <c r="C329">
        <f>IF(Table1[[#This Row],[Attrition]]="Yes",1,0)</f>
        <v>1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3">
      <c r="A330">
        <v>33</v>
      </c>
      <c r="B330" t="s">
        <v>43</v>
      </c>
      <c r="C330">
        <f>IF(Table1[[#This Row],[Attrition]]="Yes",1,0)</f>
        <v>0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3">
      <c r="A331">
        <v>47</v>
      </c>
      <c r="B331" t="s">
        <v>43</v>
      </c>
      <c r="C331">
        <f>IF(Table1[[#This Row],[Attrition]]="Yes",1,0)</f>
        <v>0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3">
      <c r="A332">
        <v>43</v>
      </c>
      <c r="B332" t="s">
        <v>43</v>
      </c>
      <c r="C332">
        <f>IF(Table1[[#This Row],[Attrition]]="Yes",1,0)</f>
        <v>0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3">
      <c r="A333">
        <v>27</v>
      </c>
      <c r="B333" t="s">
        <v>43</v>
      </c>
      <c r="C333">
        <f>IF(Table1[[#This Row],[Attrition]]="Yes",1,0)</f>
        <v>0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3">
      <c r="A334">
        <v>54</v>
      </c>
      <c r="B334" t="s">
        <v>43</v>
      </c>
      <c r="C334">
        <f>IF(Table1[[#This Row],[Attrition]]="Yes",1,0)</f>
        <v>0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3">
      <c r="A335">
        <v>43</v>
      </c>
      <c r="B335" t="s">
        <v>43</v>
      </c>
      <c r="C335">
        <f>IF(Table1[[#This Row],[Attrition]]="Yes",1,0)</f>
        <v>0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t="s">
        <v>43</v>
      </c>
      <c r="C336">
        <f>IF(Table1[[#This Row],[Attrition]]="Yes",1,0)</f>
        <v>0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3">
      <c r="A337">
        <v>40</v>
      </c>
      <c r="B337" t="s">
        <v>43</v>
      </c>
      <c r="C337">
        <f>IF(Table1[[#This Row],[Attrition]]="Yes",1,0)</f>
        <v>0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3">
      <c r="A338">
        <v>29</v>
      </c>
      <c r="B338" t="s">
        <v>35</v>
      </c>
      <c r="C338">
        <f>IF(Table1[[#This Row],[Attrition]]="Yes",1,0)</f>
        <v>1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3">
      <c r="A339">
        <v>29</v>
      </c>
      <c r="B339" t="s">
        <v>43</v>
      </c>
      <c r="C339">
        <f>IF(Table1[[#This Row],[Attrition]]="Yes",1,0)</f>
        <v>0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3">
      <c r="A340">
        <v>30</v>
      </c>
      <c r="B340" t="s">
        <v>43</v>
      </c>
      <c r="C340">
        <f>IF(Table1[[#This Row],[Attrition]]="Yes",1,0)</f>
        <v>0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3">
      <c r="A341">
        <v>27</v>
      </c>
      <c r="B341" t="s">
        <v>43</v>
      </c>
      <c r="C341">
        <f>IF(Table1[[#This Row],[Attrition]]="Yes",1,0)</f>
        <v>0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3">
      <c r="A342">
        <v>37</v>
      </c>
      <c r="B342" t="s">
        <v>43</v>
      </c>
      <c r="C342">
        <f>IF(Table1[[#This Row],[Attrition]]="Yes",1,0)</f>
        <v>0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3">
      <c r="A343">
        <v>38</v>
      </c>
      <c r="B343" t="s">
        <v>43</v>
      </c>
      <c r="C343">
        <f>IF(Table1[[#This Row],[Attrition]]="Yes",1,0)</f>
        <v>0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3">
      <c r="A344">
        <v>31</v>
      </c>
      <c r="B344" t="s">
        <v>43</v>
      </c>
      <c r="C344">
        <f>IF(Table1[[#This Row],[Attrition]]="Yes",1,0)</f>
        <v>0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3">
      <c r="A345">
        <v>29</v>
      </c>
      <c r="B345" t="s">
        <v>43</v>
      </c>
      <c r="C345">
        <f>IF(Table1[[#This Row],[Attrition]]="Yes",1,0)</f>
        <v>0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3">
      <c r="A346">
        <v>35</v>
      </c>
      <c r="B346" t="s">
        <v>43</v>
      </c>
      <c r="C346">
        <f>IF(Table1[[#This Row],[Attrition]]="Yes",1,0)</f>
        <v>0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3">
      <c r="A347">
        <v>23</v>
      </c>
      <c r="B347" t="s">
        <v>43</v>
      </c>
      <c r="C347">
        <f>IF(Table1[[#This Row],[Attrition]]="Yes",1,0)</f>
        <v>0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3">
      <c r="A348">
        <v>41</v>
      </c>
      <c r="B348" t="s">
        <v>43</v>
      </c>
      <c r="C348">
        <f>IF(Table1[[#This Row],[Attrition]]="Yes",1,0)</f>
        <v>0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3">
      <c r="A349">
        <v>47</v>
      </c>
      <c r="B349" t="s">
        <v>43</v>
      </c>
      <c r="C349">
        <f>IF(Table1[[#This Row],[Attrition]]="Yes",1,0)</f>
        <v>0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t="s">
        <v>43</v>
      </c>
      <c r="C350">
        <f>IF(Table1[[#This Row],[Attrition]]="Yes",1,0)</f>
        <v>0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t="s">
        <v>43</v>
      </c>
      <c r="C351">
        <f>IF(Table1[[#This Row],[Attrition]]="Yes",1,0)</f>
        <v>0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3">
      <c r="A352">
        <v>42</v>
      </c>
      <c r="B352" t="s">
        <v>43</v>
      </c>
      <c r="C352">
        <f>IF(Table1[[#This Row],[Attrition]]="Yes",1,0)</f>
        <v>0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3">
      <c r="A353">
        <v>32</v>
      </c>
      <c r="B353" t="s">
        <v>43</v>
      </c>
      <c r="C353">
        <f>IF(Table1[[#This Row],[Attrition]]="Yes",1,0)</f>
        <v>0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3">
      <c r="A354">
        <v>48</v>
      </c>
      <c r="B354" t="s">
        <v>43</v>
      </c>
      <c r="C354">
        <f>IF(Table1[[#This Row],[Attrition]]="Yes",1,0)</f>
        <v>0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t="s">
        <v>43</v>
      </c>
      <c r="C355">
        <f>IF(Table1[[#This Row],[Attrition]]="Yes",1,0)</f>
        <v>0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3">
      <c r="A356">
        <v>30</v>
      </c>
      <c r="B356" t="s">
        <v>43</v>
      </c>
      <c r="C356">
        <f>IF(Table1[[#This Row],[Attrition]]="Yes",1,0)</f>
        <v>0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3">
      <c r="A357">
        <v>26</v>
      </c>
      <c r="B357" t="s">
        <v>43</v>
      </c>
      <c r="C357">
        <f>IF(Table1[[#This Row],[Attrition]]="Yes",1,0)</f>
        <v>0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3">
      <c r="A358">
        <v>42</v>
      </c>
      <c r="B358" t="s">
        <v>43</v>
      </c>
      <c r="C358">
        <f>IF(Table1[[#This Row],[Attrition]]="Yes",1,0)</f>
        <v>0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t="s">
        <v>35</v>
      </c>
      <c r="C359">
        <f>IF(Table1[[#This Row],[Attrition]]="Yes",1,0)</f>
        <v>1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3">
      <c r="A360">
        <v>36</v>
      </c>
      <c r="B360" t="s">
        <v>43</v>
      </c>
      <c r="C360">
        <f>IF(Table1[[#This Row],[Attrition]]="Yes",1,0)</f>
        <v>0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t="s">
        <v>43</v>
      </c>
      <c r="C361">
        <f>IF(Table1[[#This Row],[Attrition]]="Yes",1,0)</f>
        <v>0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3">
      <c r="A362">
        <v>57</v>
      </c>
      <c r="B362" t="s">
        <v>43</v>
      </c>
      <c r="C362">
        <f>IF(Table1[[#This Row],[Attrition]]="Yes",1,0)</f>
        <v>0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3">
      <c r="A363">
        <v>40</v>
      </c>
      <c r="B363" t="s">
        <v>43</v>
      </c>
      <c r="C363">
        <f>IF(Table1[[#This Row],[Attrition]]="Yes",1,0)</f>
        <v>0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3">
      <c r="A364">
        <v>21</v>
      </c>
      <c r="B364" t="s">
        <v>43</v>
      </c>
      <c r="C364">
        <f>IF(Table1[[#This Row],[Attrition]]="Yes",1,0)</f>
        <v>0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3">
      <c r="A365">
        <v>33</v>
      </c>
      <c r="B365" t="s">
        <v>35</v>
      </c>
      <c r="C365">
        <f>IF(Table1[[#This Row],[Attrition]]="Yes",1,0)</f>
        <v>1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3">
      <c r="A366">
        <v>37</v>
      </c>
      <c r="B366" t="s">
        <v>43</v>
      </c>
      <c r="C366">
        <f>IF(Table1[[#This Row],[Attrition]]="Yes",1,0)</f>
        <v>0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3">
      <c r="A367">
        <v>46</v>
      </c>
      <c r="B367" t="s">
        <v>43</v>
      </c>
      <c r="C367">
        <f>IF(Table1[[#This Row],[Attrition]]="Yes",1,0)</f>
        <v>0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t="s">
        <v>35</v>
      </c>
      <c r="C368">
        <f>IF(Table1[[#This Row],[Attrition]]="Yes",1,0)</f>
        <v>1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3">
      <c r="A369">
        <v>50</v>
      </c>
      <c r="B369" t="s">
        <v>43</v>
      </c>
      <c r="C369">
        <f>IF(Table1[[#This Row],[Attrition]]="Yes",1,0)</f>
        <v>0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3">
      <c r="A370">
        <v>40</v>
      </c>
      <c r="B370" t="s">
        <v>35</v>
      </c>
      <c r="C370">
        <f>IF(Table1[[#This Row],[Attrition]]="Yes",1,0)</f>
        <v>1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3">
      <c r="A371">
        <v>31</v>
      </c>
      <c r="B371" t="s">
        <v>43</v>
      </c>
      <c r="C371">
        <f>IF(Table1[[#This Row],[Attrition]]="Yes",1,0)</f>
        <v>0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3">
      <c r="A372">
        <v>21</v>
      </c>
      <c r="B372" t="s">
        <v>35</v>
      </c>
      <c r="C372">
        <f>IF(Table1[[#This Row],[Attrition]]="Yes",1,0)</f>
        <v>1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3">
      <c r="A373">
        <v>29</v>
      </c>
      <c r="B373" t="s">
        <v>43</v>
      </c>
      <c r="C373">
        <f>IF(Table1[[#This Row],[Attrition]]="Yes",1,0)</f>
        <v>0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3">
      <c r="A374">
        <v>35</v>
      </c>
      <c r="B374" t="s">
        <v>43</v>
      </c>
      <c r="C374">
        <f>IF(Table1[[#This Row],[Attrition]]="Yes",1,0)</f>
        <v>0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3">
      <c r="A375">
        <v>27</v>
      </c>
      <c r="B375" t="s">
        <v>43</v>
      </c>
      <c r="C375">
        <f>IF(Table1[[#This Row],[Attrition]]="Yes",1,0)</f>
        <v>0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3">
      <c r="A376">
        <v>28</v>
      </c>
      <c r="B376" t="s">
        <v>43</v>
      </c>
      <c r="C376">
        <f>IF(Table1[[#This Row],[Attrition]]="Yes",1,0)</f>
        <v>0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3">
      <c r="A377">
        <v>49</v>
      </c>
      <c r="B377" t="s">
        <v>43</v>
      </c>
      <c r="C377">
        <f>IF(Table1[[#This Row],[Attrition]]="Yes",1,0)</f>
        <v>0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3">
      <c r="A378">
        <v>51</v>
      </c>
      <c r="B378" t="s">
        <v>43</v>
      </c>
      <c r="C378">
        <f>IF(Table1[[#This Row],[Attrition]]="Yes",1,0)</f>
        <v>0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3">
      <c r="A379">
        <v>36</v>
      </c>
      <c r="B379" t="s">
        <v>43</v>
      </c>
      <c r="C379">
        <f>IF(Table1[[#This Row],[Attrition]]="Yes",1,0)</f>
        <v>0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3">
      <c r="A380">
        <v>34</v>
      </c>
      <c r="B380" t="s">
        <v>35</v>
      </c>
      <c r="C380">
        <f>IF(Table1[[#This Row],[Attrition]]="Yes",1,0)</f>
        <v>1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3">
      <c r="A381">
        <v>55</v>
      </c>
      <c r="B381" t="s">
        <v>43</v>
      </c>
      <c r="C381">
        <f>IF(Table1[[#This Row],[Attrition]]="Yes",1,0)</f>
        <v>0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3">
      <c r="A382">
        <v>24</v>
      </c>
      <c r="B382" t="s">
        <v>43</v>
      </c>
      <c r="C382">
        <f>IF(Table1[[#This Row],[Attrition]]="Yes",1,0)</f>
        <v>0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3">
      <c r="A383">
        <v>30</v>
      </c>
      <c r="B383" t="s">
        <v>43</v>
      </c>
      <c r="C383">
        <f>IF(Table1[[#This Row],[Attrition]]="Yes",1,0)</f>
        <v>0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t="s">
        <v>35</v>
      </c>
      <c r="C384">
        <f>IF(Table1[[#This Row],[Attrition]]="Yes",1,0)</f>
        <v>1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3">
      <c r="A385">
        <v>22</v>
      </c>
      <c r="B385" t="s">
        <v>43</v>
      </c>
      <c r="C385">
        <f>IF(Table1[[#This Row],[Attrition]]="Yes",1,0)</f>
        <v>0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3">
      <c r="A386">
        <v>36</v>
      </c>
      <c r="B386" t="s">
        <v>43</v>
      </c>
      <c r="C386">
        <f>IF(Table1[[#This Row],[Attrition]]="Yes",1,0)</f>
        <v>0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3">
      <c r="A387">
        <v>30</v>
      </c>
      <c r="B387" t="s">
        <v>35</v>
      </c>
      <c r="C387">
        <f>IF(Table1[[#This Row],[Attrition]]="Yes",1,0)</f>
        <v>1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3">
      <c r="A388">
        <v>37</v>
      </c>
      <c r="B388" t="s">
        <v>43</v>
      </c>
      <c r="C388">
        <f>IF(Table1[[#This Row],[Attrition]]="Yes",1,0)</f>
        <v>0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3">
      <c r="A389">
        <v>40</v>
      </c>
      <c r="B389" t="s">
        <v>43</v>
      </c>
      <c r="C389">
        <f>IF(Table1[[#This Row],[Attrition]]="Yes",1,0)</f>
        <v>0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3">
      <c r="A390">
        <v>42</v>
      </c>
      <c r="B390" t="s">
        <v>43</v>
      </c>
      <c r="C390">
        <f>IF(Table1[[#This Row],[Attrition]]="Yes",1,0)</f>
        <v>0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3">
      <c r="A391">
        <v>37</v>
      </c>
      <c r="B391" t="s">
        <v>43</v>
      </c>
      <c r="C391">
        <f>IF(Table1[[#This Row],[Attrition]]="Yes",1,0)</f>
        <v>0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3">
      <c r="A392">
        <v>43</v>
      </c>
      <c r="B392" t="s">
        <v>43</v>
      </c>
      <c r="C392">
        <f>IF(Table1[[#This Row],[Attrition]]="Yes",1,0)</f>
        <v>0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3">
      <c r="A393">
        <v>40</v>
      </c>
      <c r="B393" t="s">
        <v>43</v>
      </c>
      <c r="C393">
        <f>IF(Table1[[#This Row],[Attrition]]="Yes",1,0)</f>
        <v>0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t="s">
        <v>43</v>
      </c>
      <c r="C394">
        <f>IF(Table1[[#This Row],[Attrition]]="Yes",1,0)</f>
        <v>0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3">
      <c r="A395">
        <v>34</v>
      </c>
      <c r="B395" t="s">
        <v>43</v>
      </c>
      <c r="C395">
        <f>IF(Table1[[#This Row],[Attrition]]="Yes",1,0)</f>
        <v>0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3">
      <c r="A396">
        <v>31</v>
      </c>
      <c r="B396" t="s">
        <v>43</v>
      </c>
      <c r="C396">
        <f>IF(Table1[[#This Row],[Attrition]]="Yes",1,0)</f>
        <v>0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3">
      <c r="A397">
        <v>43</v>
      </c>
      <c r="B397" t="s">
        <v>43</v>
      </c>
      <c r="C397">
        <f>IF(Table1[[#This Row],[Attrition]]="Yes",1,0)</f>
        <v>0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3">
      <c r="A398">
        <v>43</v>
      </c>
      <c r="B398" t="s">
        <v>43</v>
      </c>
      <c r="C398">
        <f>IF(Table1[[#This Row],[Attrition]]="Yes",1,0)</f>
        <v>0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3">
      <c r="A399">
        <v>25</v>
      </c>
      <c r="B399" t="s">
        <v>43</v>
      </c>
      <c r="C399">
        <f>IF(Table1[[#This Row],[Attrition]]="Yes",1,0)</f>
        <v>0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3">
      <c r="A400">
        <v>37</v>
      </c>
      <c r="B400" t="s">
        <v>43</v>
      </c>
      <c r="C400">
        <f>IF(Table1[[#This Row],[Attrition]]="Yes",1,0)</f>
        <v>0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3">
      <c r="A401">
        <v>31</v>
      </c>
      <c r="B401" t="s">
        <v>43</v>
      </c>
      <c r="C401">
        <f>IF(Table1[[#This Row],[Attrition]]="Yes",1,0)</f>
        <v>0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3">
      <c r="A402">
        <v>39</v>
      </c>
      <c r="B402" t="s">
        <v>43</v>
      </c>
      <c r="C402">
        <f>IF(Table1[[#This Row],[Attrition]]="Yes",1,0)</f>
        <v>0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3">
      <c r="A403">
        <v>56</v>
      </c>
      <c r="B403" t="s">
        <v>43</v>
      </c>
      <c r="C403">
        <f>IF(Table1[[#This Row],[Attrition]]="Yes",1,0)</f>
        <v>0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3">
      <c r="A404">
        <v>30</v>
      </c>
      <c r="B404" t="s">
        <v>43</v>
      </c>
      <c r="C404">
        <f>IF(Table1[[#This Row],[Attrition]]="Yes",1,0)</f>
        <v>0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3">
      <c r="A405">
        <v>41</v>
      </c>
      <c r="B405" t="s">
        <v>43</v>
      </c>
      <c r="C405">
        <f>IF(Table1[[#This Row],[Attrition]]="Yes",1,0)</f>
        <v>0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3">
      <c r="A406">
        <v>28</v>
      </c>
      <c r="B406" t="s">
        <v>43</v>
      </c>
      <c r="C406">
        <f>IF(Table1[[#This Row],[Attrition]]="Yes",1,0)</f>
        <v>0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3">
      <c r="A407">
        <v>25</v>
      </c>
      <c r="B407" t="s">
        <v>35</v>
      </c>
      <c r="C407">
        <f>IF(Table1[[#This Row],[Attrition]]="Yes",1,0)</f>
        <v>1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3">
      <c r="A408">
        <v>52</v>
      </c>
      <c r="B408" t="s">
        <v>43</v>
      </c>
      <c r="C408">
        <f>IF(Table1[[#This Row],[Attrition]]="Yes",1,0)</f>
        <v>0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3">
      <c r="A409">
        <v>45</v>
      </c>
      <c r="B409" t="s">
        <v>43</v>
      </c>
      <c r="C409">
        <f>IF(Table1[[#This Row],[Attrition]]="Yes",1,0)</f>
        <v>0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3">
      <c r="A410">
        <v>52</v>
      </c>
      <c r="B410" t="s">
        <v>43</v>
      </c>
      <c r="C410">
        <f>IF(Table1[[#This Row],[Attrition]]="Yes",1,0)</f>
        <v>0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3">
      <c r="A411">
        <v>42</v>
      </c>
      <c r="B411" t="s">
        <v>43</v>
      </c>
      <c r="C411">
        <f>IF(Table1[[#This Row],[Attrition]]="Yes",1,0)</f>
        <v>0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3">
      <c r="A412">
        <v>30</v>
      </c>
      <c r="B412" t="s">
        <v>43</v>
      </c>
      <c r="C412">
        <f>IF(Table1[[#This Row],[Attrition]]="Yes",1,0)</f>
        <v>0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3">
      <c r="A413">
        <v>60</v>
      </c>
      <c r="B413" t="s">
        <v>43</v>
      </c>
      <c r="C413">
        <f>IF(Table1[[#This Row],[Attrition]]="Yes",1,0)</f>
        <v>0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3">
      <c r="A414">
        <v>46</v>
      </c>
      <c r="B414" t="s">
        <v>43</v>
      </c>
      <c r="C414">
        <f>IF(Table1[[#This Row],[Attrition]]="Yes",1,0)</f>
        <v>0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3">
      <c r="A415">
        <v>42</v>
      </c>
      <c r="B415" t="s">
        <v>43</v>
      </c>
      <c r="C415">
        <f>IF(Table1[[#This Row],[Attrition]]="Yes",1,0)</f>
        <v>0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3">
      <c r="A416">
        <v>24</v>
      </c>
      <c r="B416" t="s">
        <v>35</v>
      </c>
      <c r="C416">
        <f>IF(Table1[[#This Row],[Attrition]]="Yes",1,0)</f>
        <v>1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3">
      <c r="A417">
        <v>34</v>
      </c>
      <c r="B417" t="s">
        <v>35</v>
      </c>
      <c r="C417">
        <f>IF(Table1[[#This Row],[Attrition]]="Yes",1,0)</f>
        <v>1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3">
      <c r="A418">
        <v>38</v>
      </c>
      <c r="B418" t="s">
        <v>43</v>
      </c>
      <c r="C418">
        <f>IF(Table1[[#This Row],[Attrition]]="Yes",1,0)</f>
        <v>0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t="s">
        <v>43</v>
      </c>
      <c r="C419">
        <f>IF(Table1[[#This Row],[Attrition]]="Yes",1,0)</f>
        <v>0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3">
      <c r="A420">
        <v>26</v>
      </c>
      <c r="B420" t="s">
        <v>43</v>
      </c>
      <c r="C420">
        <f>IF(Table1[[#This Row],[Attrition]]="Yes",1,0)</f>
        <v>0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3">
      <c r="A421">
        <v>30</v>
      </c>
      <c r="B421" t="s">
        <v>43</v>
      </c>
      <c r="C421">
        <f>IF(Table1[[#This Row],[Attrition]]="Yes",1,0)</f>
        <v>0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3">
      <c r="A422">
        <v>29</v>
      </c>
      <c r="B422" t="s">
        <v>43</v>
      </c>
      <c r="C422">
        <f>IF(Table1[[#This Row],[Attrition]]="Yes",1,0)</f>
        <v>0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3">
      <c r="A423">
        <v>29</v>
      </c>
      <c r="B423" t="s">
        <v>35</v>
      </c>
      <c r="C423">
        <f>IF(Table1[[#This Row],[Attrition]]="Yes",1,0)</f>
        <v>1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3">
      <c r="A424">
        <v>19</v>
      </c>
      <c r="B424" t="s">
        <v>35</v>
      </c>
      <c r="C424">
        <f>IF(Table1[[#This Row],[Attrition]]="Yes",1,0)</f>
        <v>1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3">
      <c r="A425">
        <v>30</v>
      </c>
      <c r="B425" t="s">
        <v>43</v>
      </c>
      <c r="C425">
        <f>IF(Table1[[#This Row],[Attrition]]="Yes",1,0)</f>
        <v>0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3">
      <c r="A426">
        <v>57</v>
      </c>
      <c r="B426" t="s">
        <v>43</v>
      </c>
      <c r="C426">
        <f>IF(Table1[[#This Row],[Attrition]]="Yes",1,0)</f>
        <v>0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t="s">
        <v>43</v>
      </c>
      <c r="C427">
        <f>IF(Table1[[#This Row],[Attrition]]="Yes",1,0)</f>
        <v>0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3">
      <c r="A428">
        <v>30</v>
      </c>
      <c r="B428" t="s">
        <v>43</v>
      </c>
      <c r="C428">
        <f>IF(Table1[[#This Row],[Attrition]]="Yes",1,0)</f>
        <v>0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3">
      <c r="A429">
        <v>60</v>
      </c>
      <c r="B429" t="s">
        <v>43</v>
      </c>
      <c r="C429">
        <f>IF(Table1[[#This Row],[Attrition]]="Yes",1,0)</f>
        <v>0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3">
      <c r="A430">
        <v>47</v>
      </c>
      <c r="B430" t="s">
        <v>43</v>
      </c>
      <c r="C430">
        <f>IF(Table1[[#This Row],[Attrition]]="Yes",1,0)</f>
        <v>0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3">
      <c r="A431">
        <v>46</v>
      </c>
      <c r="B431" t="s">
        <v>43</v>
      </c>
      <c r="C431">
        <f>IF(Table1[[#This Row],[Attrition]]="Yes",1,0)</f>
        <v>0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3">
      <c r="A432">
        <v>35</v>
      </c>
      <c r="B432" t="s">
        <v>43</v>
      </c>
      <c r="C432">
        <f>IF(Table1[[#This Row],[Attrition]]="Yes",1,0)</f>
        <v>0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3">
      <c r="A433">
        <v>54</v>
      </c>
      <c r="B433" t="s">
        <v>43</v>
      </c>
      <c r="C433">
        <f>IF(Table1[[#This Row],[Attrition]]="Yes",1,0)</f>
        <v>0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t="s">
        <v>43</v>
      </c>
      <c r="C434">
        <f>IF(Table1[[#This Row],[Attrition]]="Yes",1,0)</f>
        <v>0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3">
      <c r="A435">
        <v>46</v>
      </c>
      <c r="B435" t="s">
        <v>43</v>
      </c>
      <c r="C435">
        <f>IF(Table1[[#This Row],[Attrition]]="Yes",1,0)</f>
        <v>0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3">
      <c r="A436">
        <v>31</v>
      </c>
      <c r="B436" t="s">
        <v>43</v>
      </c>
      <c r="C436">
        <f>IF(Table1[[#This Row],[Attrition]]="Yes",1,0)</f>
        <v>0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3">
      <c r="A437">
        <v>33</v>
      </c>
      <c r="B437" t="s">
        <v>35</v>
      </c>
      <c r="C437">
        <f>IF(Table1[[#This Row],[Attrition]]="Yes",1,0)</f>
        <v>1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3">
      <c r="A438">
        <v>33</v>
      </c>
      <c r="B438" t="s">
        <v>35</v>
      </c>
      <c r="C438">
        <f>IF(Table1[[#This Row],[Attrition]]="Yes",1,0)</f>
        <v>1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3">
      <c r="A439">
        <v>30</v>
      </c>
      <c r="B439" t="s">
        <v>43</v>
      </c>
      <c r="C439">
        <f>IF(Table1[[#This Row],[Attrition]]="Yes",1,0)</f>
        <v>0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3">
      <c r="A440">
        <v>35</v>
      </c>
      <c r="B440" t="s">
        <v>43</v>
      </c>
      <c r="C440">
        <f>IF(Table1[[#This Row],[Attrition]]="Yes",1,0)</f>
        <v>0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3">
      <c r="A441">
        <v>31</v>
      </c>
      <c r="B441" t="s">
        <v>35</v>
      </c>
      <c r="C441">
        <f>IF(Table1[[#This Row],[Attrition]]="Yes",1,0)</f>
        <v>1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3">
      <c r="A442">
        <v>34</v>
      </c>
      <c r="B442" t="s">
        <v>35</v>
      </c>
      <c r="C442">
        <f>IF(Table1[[#This Row],[Attrition]]="Yes",1,0)</f>
        <v>1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3">
      <c r="A443">
        <v>42</v>
      </c>
      <c r="B443" t="s">
        <v>43</v>
      </c>
      <c r="C443">
        <f>IF(Table1[[#This Row],[Attrition]]="Yes",1,0)</f>
        <v>0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3">
      <c r="A444">
        <v>36</v>
      </c>
      <c r="B444" t="s">
        <v>43</v>
      </c>
      <c r="C444">
        <f>IF(Table1[[#This Row],[Attrition]]="Yes",1,0)</f>
        <v>0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3">
      <c r="A445">
        <v>22</v>
      </c>
      <c r="B445" t="s">
        <v>35</v>
      </c>
      <c r="C445">
        <f>IF(Table1[[#This Row],[Attrition]]="Yes",1,0)</f>
        <v>1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3">
      <c r="A446">
        <v>48</v>
      </c>
      <c r="B446" t="s">
        <v>43</v>
      </c>
      <c r="C446">
        <f>IF(Table1[[#This Row],[Attrition]]="Yes",1,0)</f>
        <v>0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3">
      <c r="A447">
        <v>55</v>
      </c>
      <c r="B447" t="s">
        <v>43</v>
      </c>
      <c r="C447">
        <f>IF(Table1[[#This Row],[Attrition]]="Yes",1,0)</f>
        <v>0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3">
      <c r="A448">
        <v>41</v>
      </c>
      <c r="B448" t="s">
        <v>43</v>
      </c>
      <c r="C448">
        <f>IF(Table1[[#This Row],[Attrition]]="Yes",1,0)</f>
        <v>0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3">
      <c r="A449">
        <v>35</v>
      </c>
      <c r="B449" t="s">
        <v>43</v>
      </c>
      <c r="C449">
        <f>IF(Table1[[#This Row],[Attrition]]="Yes",1,0)</f>
        <v>0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3">
      <c r="A450">
        <v>40</v>
      </c>
      <c r="B450" t="s">
        <v>43</v>
      </c>
      <c r="C450">
        <f>IF(Table1[[#This Row],[Attrition]]="Yes",1,0)</f>
        <v>0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3">
      <c r="A451">
        <v>39</v>
      </c>
      <c r="B451" t="s">
        <v>43</v>
      </c>
      <c r="C451">
        <f>IF(Table1[[#This Row],[Attrition]]="Yes",1,0)</f>
        <v>0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3">
      <c r="A452">
        <v>31</v>
      </c>
      <c r="B452" t="s">
        <v>43</v>
      </c>
      <c r="C452">
        <f>IF(Table1[[#This Row],[Attrition]]="Yes",1,0)</f>
        <v>0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3">
      <c r="A453">
        <v>42</v>
      </c>
      <c r="B453" t="s">
        <v>43</v>
      </c>
      <c r="C453">
        <f>IF(Table1[[#This Row],[Attrition]]="Yes",1,0)</f>
        <v>0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3">
      <c r="A454">
        <v>45</v>
      </c>
      <c r="B454" t="s">
        <v>43</v>
      </c>
      <c r="C454">
        <f>IF(Table1[[#This Row],[Attrition]]="Yes",1,0)</f>
        <v>0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3">
      <c r="A455">
        <v>26</v>
      </c>
      <c r="B455" t="s">
        <v>35</v>
      </c>
      <c r="C455">
        <f>IF(Table1[[#This Row],[Attrition]]="Yes",1,0)</f>
        <v>1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3">
      <c r="A456">
        <v>29</v>
      </c>
      <c r="B456" t="s">
        <v>43</v>
      </c>
      <c r="C456">
        <f>IF(Table1[[#This Row],[Attrition]]="Yes",1,0)</f>
        <v>0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3">
      <c r="A457">
        <v>33</v>
      </c>
      <c r="B457" t="s">
        <v>43</v>
      </c>
      <c r="C457">
        <f>IF(Table1[[#This Row],[Attrition]]="Yes",1,0)</f>
        <v>0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3">
      <c r="A458">
        <v>31</v>
      </c>
      <c r="B458" t="s">
        <v>43</v>
      </c>
      <c r="C458">
        <f>IF(Table1[[#This Row],[Attrition]]="Yes",1,0)</f>
        <v>0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3">
      <c r="A459">
        <v>18</v>
      </c>
      <c r="B459" t="s">
        <v>35</v>
      </c>
      <c r="C459">
        <f>IF(Table1[[#This Row],[Attrition]]="Yes",1,0)</f>
        <v>1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>
        <v>40</v>
      </c>
      <c r="B460" t="s">
        <v>43</v>
      </c>
      <c r="C460">
        <f>IF(Table1[[#This Row],[Attrition]]="Yes",1,0)</f>
        <v>0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3">
      <c r="A461">
        <v>41</v>
      </c>
      <c r="B461" t="s">
        <v>43</v>
      </c>
      <c r="C461">
        <f>IF(Table1[[#This Row],[Attrition]]="Yes",1,0)</f>
        <v>0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3">
      <c r="A462">
        <v>26</v>
      </c>
      <c r="B462" t="s">
        <v>43</v>
      </c>
      <c r="C462">
        <f>IF(Table1[[#This Row],[Attrition]]="Yes",1,0)</f>
        <v>0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t="s">
        <v>43</v>
      </c>
      <c r="C463">
        <f>IF(Table1[[#This Row],[Attrition]]="Yes",1,0)</f>
        <v>0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3">
      <c r="A464">
        <v>34</v>
      </c>
      <c r="B464" t="s">
        <v>43</v>
      </c>
      <c r="C464">
        <f>IF(Table1[[#This Row],[Attrition]]="Yes",1,0)</f>
        <v>0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3">
      <c r="A465">
        <v>26</v>
      </c>
      <c r="B465" t="s">
        <v>35</v>
      </c>
      <c r="C465">
        <f>IF(Table1[[#This Row],[Attrition]]="Yes",1,0)</f>
        <v>1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3">
      <c r="A466">
        <v>37</v>
      </c>
      <c r="B466" t="s">
        <v>43</v>
      </c>
      <c r="C466">
        <f>IF(Table1[[#This Row],[Attrition]]="Yes",1,0)</f>
        <v>0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3">
      <c r="A467">
        <v>46</v>
      </c>
      <c r="B467" t="s">
        <v>43</v>
      </c>
      <c r="C467">
        <f>IF(Table1[[#This Row],[Attrition]]="Yes",1,0)</f>
        <v>0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3">
      <c r="A468">
        <v>41</v>
      </c>
      <c r="B468" t="s">
        <v>43</v>
      </c>
      <c r="C468">
        <f>IF(Table1[[#This Row],[Attrition]]="Yes",1,0)</f>
        <v>0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3">
      <c r="A469">
        <v>37</v>
      </c>
      <c r="B469" t="s">
        <v>43</v>
      </c>
      <c r="C469">
        <f>IF(Table1[[#This Row],[Attrition]]="Yes",1,0)</f>
        <v>0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3">
      <c r="A470">
        <v>52</v>
      </c>
      <c r="B470" t="s">
        <v>43</v>
      </c>
      <c r="C470">
        <f>IF(Table1[[#This Row],[Attrition]]="Yes",1,0)</f>
        <v>0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3">
      <c r="A471">
        <v>32</v>
      </c>
      <c r="B471" t="s">
        <v>35</v>
      </c>
      <c r="C471">
        <f>IF(Table1[[#This Row],[Attrition]]="Yes",1,0)</f>
        <v>1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3">
      <c r="A472">
        <v>24</v>
      </c>
      <c r="B472" t="s">
        <v>43</v>
      </c>
      <c r="C472">
        <f>IF(Table1[[#This Row],[Attrition]]="Yes",1,0)</f>
        <v>0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3">
      <c r="A473">
        <v>38</v>
      </c>
      <c r="B473" t="s">
        <v>43</v>
      </c>
      <c r="C473">
        <f>IF(Table1[[#This Row],[Attrition]]="Yes",1,0)</f>
        <v>0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t="s">
        <v>43</v>
      </c>
      <c r="C474">
        <f>IF(Table1[[#This Row],[Attrition]]="Yes",1,0)</f>
        <v>0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3">
      <c r="A475">
        <v>49</v>
      </c>
      <c r="B475" t="s">
        <v>43</v>
      </c>
      <c r="C475">
        <f>IF(Table1[[#This Row],[Attrition]]="Yes",1,0)</f>
        <v>0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3">
      <c r="A476">
        <v>24</v>
      </c>
      <c r="B476" t="s">
        <v>43</v>
      </c>
      <c r="C476">
        <f>IF(Table1[[#This Row],[Attrition]]="Yes",1,0)</f>
        <v>0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3">
      <c r="A477">
        <v>26</v>
      </c>
      <c r="B477" t="s">
        <v>43</v>
      </c>
      <c r="C477">
        <f>IF(Table1[[#This Row],[Attrition]]="Yes",1,0)</f>
        <v>0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3">
      <c r="A478">
        <v>24</v>
      </c>
      <c r="B478" t="s">
        <v>43</v>
      </c>
      <c r="C478">
        <f>IF(Table1[[#This Row],[Attrition]]="Yes",1,0)</f>
        <v>0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t="s">
        <v>43</v>
      </c>
      <c r="C479">
        <f>IF(Table1[[#This Row],[Attrition]]="Yes",1,0)</f>
        <v>0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3">
      <c r="A480">
        <v>25</v>
      </c>
      <c r="B480" t="s">
        <v>43</v>
      </c>
      <c r="C480">
        <f>IF(Table1[[#This Row],[Attrition]]="Yes",1,0)</f>
        <v>0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3">
      <c r="A481">
        <v>24</v>
      </c>
      <c r="B481" t="s">
        <v>35</v>
      </c>
      <c r="C481">
        <f>IF(Table1[[#This Row],[Attrition]]="Yes",1,0)</f>
        <v>1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3">
      <c r="A482">
        <v>30</v>
      </c>
      <c r="B482" t="s">
        <v>35</v>
      </c>
      <c r="C482">
        <f>IF(Table1[[#This Row],[Attrition]]="Yes",1,0)</f>
        <v>1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3">
      <c r="A483">
        <v>34</v>
      </c>
      <c r="B483" t="s">
        <v>43</v>
      </c>
      <c r="C483">
        <f>IF(Table1[[#This Row],[Attrition]]="Yes",1,0)</f>
        <v>0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3">
      <c r="A484">
        <v>31</v>
      </c>
      <c r="B484" t="s">
        <v>35</v>
      </c>
      <c r="C484">
        <f>IF(Table1[[#This Row],[Attrition]]="Yes",1,0)</f>
        <v>1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3">
      <c r="A485">
        <v>35</v>
      </c>
      <c r="B485" t="s">
        <v>43</v>
      </c>
      <c r="C485">
        <f>IF(Table1[[#This Row],[Attrition]]="Yes",1,0)</f>
        <v>0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3">
      <c r="A486">
        <v>31</v>
      </c>
      <c r="B486" t="s">
        <v>43</v>
      </c>
      <c r="C486">
        <f>IF(Table1[[#This Row],[Attrition]]="Yes",1,0)</f>
        <v>0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3">
      <c r="A487">
        <v>27</v>
      </c>
      <c r="B487" t="s">
        <v>43</v>
      </c>
      <c r="C487">
        <f>IF(Table1[[#This Row],[Attrition]]="Yes",1,0)</f>
        <v>0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3">
      <c r="A488">
        <v>37</v>
      </c>
      <c r="B488" t="s">
        <v>43</v>
      </c>
      <c r="C488">
        <f>IF(Table1[[#This Row],[Attrition]]="Yes",1,0)</f>
        <v>0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3">
      <c r="A489">
        <v>20</v>
      </c>
      <c r="B489" t="s">
        <v>43</v>
      </c>
      <c r="C489">
        <f>IF(Table1[[#This Row],[Attrition]]="Yes",1,0)</f>
        <v>0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t="s">
        <v>43</v>
      </c>
      <c r="C490">
        <f>IF(Table1[[#This Row],[Attrition]]="Yes",1,0)</f>
        <v>0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3">
      <c r="A491">
        <v>43</v>
      </c>
      <c r="B491" t="s">
        <v>43</v>
      </c>
      <c r="C491">
        <f>IF(Table1[[#This Row],[Attrition]]="Yes",1,0)</f>
        <v>0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t="s">
        <v>43</v>
      </c>
      <c r="C492">
        <f>IF(Table1[[#This Row],[Attrition]]="Yes",1,0)</f>
        <v>0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t="s">
        <v>43</v>
      </c>
      <c r="C493">
        <f>IF(Table1[[#This Row],[Attrition]]="Yes",1,0)</f>
        <v>0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3">
      <c r="A494">
        <v>48</v>
      </c>
      <c r="B494" t="s">
        <v>43</v>
      </c>
      <c r="C494">
        <f>IF(Table1[[#This Row],[Attrition]]="Yes",1,0)</f>
        <v>0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3">
      <c r="A495">
        <v>44</v>
      </c>
      <c r="B495" t="s">
        <v>43</v>
      </c>
      <c r="C495">
        <f>IF(Table1[[#This Row],[Attrition]]="Yes",1,0)</f>
        <v>0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3">
      <c r="A496">
        <v>34</v>
      </c>
      <c r="B496" t="s">
        <v>43</v>
      </c>
      <c r="C496">
        <f>IF(Table1[[#This Row],[Attrition]]="Yes",1,0)</f>
        <v>0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3">
      <c r="A497">
        <v>27</v>
      </c>
      <c r="B497" t="s">
        <v>35</v>
      </c>
      <c r="C497">
        <f>IF(Table1[[#This Row],[Attrition]]="Yes",1,0)</f>
        <v>1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3">
      <c r="A498">
        <v>21</v>
      </c>
      <c r="B498" t="s">
        <v>43</v>
      </c>
      <c r="C498">
        <f>IF(Table1[[#This Row],[Attrition]]="Yes",1,0)</f>
        <v>0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3">
      <c r="A499">
        <v>44</v>
      </c>
      <c r="B499" t="s">
        <v>43</v>
      </c>
      <c r="C499">
        <f>IF(Table1[[#This Row],[Attrition]]="Yes",1,0)</f>
        <v>0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3">
      <c r="A500">
        <v>22</v>
      </c>
      <c r="B500" t="s">
        <v>43</v>
      </c>
      <c r="C500">
        <f>IF(Table1[[#This Row],[Attrition]]="Yes",1,0)</f>
        <v>0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3">
      <c r="A501">
        <v>33</v>
      </c>
      <c r="B501" t="s">
        <v>43</v>
      </c>
      <c r="C501">
        <f>IF(Table1[[#This Row],[Attrition]]="Yes",1,0)</f>
        <v>0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3">
      <c r="A502">
        <v>32</v>
      </c>
      <c r="B502" t="s">
        <v>43</v>
      </c>
      <c r="C502">
        <f>IF(Table1[[#This Row],[Attrition]]="Yes",1,0)</f>
        <v>0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3">
      <c r="A503">
        <v>30</v>
      </c>
      <c r="B503" t="s">
        <v>43</v>
      </c>
      <c r="C503">
        <f>IF(Table1[[#This Row],[Attrition]]="Yes",1,0)</f>
        <v>0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t="s">
        <v>43</v>
      </c>
      <c r="C504">
        <f>IF(Table1[[#This Row],[Attrition]]="Yes",1,0)</f>
        <v>0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3">
      <c r="A505">
        <v>34</v>
      </c>
      <c r="B505" t="s">
        <v>43</v>
      </c>
      <c r="C505">
        <f>IF(Table1[[#This Row],[Attrition]]="Yes",1,0)</f>
        <v>0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3">
      <c r="A506">
        <v>45</v>
      </c>
      <c r="B506" t="s">
        <v>35</v>
      </c>
      <c r="C506">
        <f>IF(Table1[[#This Row],[Attrition]]="Yes",1,0)</f>
        <v>1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3">
      <c r="A507">
        <v>26</v>
      </c>
      <c r="B507" t="s">
        <v>43</v>
      </c>
      <c r="C507">
        <f>IF(Table1[[#This Row],[Attrition]]="Yes",1,0)</f>
        <v>0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3">
      <c r="A508">
        <v>37</v>
      </c>
      <c r="B508" t="s">
        <v>43</v>
      </c>
      <c r="C508">
        <f>IF(Table1[[#This Row],[Attrition]]="Yes",1,0)</f>
        <v>0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3">
      <c r="A509">
        <v>29</v>
      </c>
      <c r="B509" t="s">
        <v>43</v>
      </c>
      <c r="C509">
        <f>IF(Table1[[#This Row],[Attrition]]="Yes",1,0)</f>
        <v>0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3">
      <c r="A510">
        <v>35</v>
      </c>
      <c r="B510" t="s">
        <v>43</v>
      </c>
      <c r="C510">
        <f>IF(Table1[[#This Row],[Attrition]]="Yes",1,0)</f>
        <v>0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3">
      <c r="A511">
        <v>33</v>
      </c>
      <c r="B511" t="s">
        <v>43</v>
      </c>
      <c r="C511">
        <f>IF(Table1[[#This Row],[Attrition]]="Yes",1,0)</f>
        <v>0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3">
      <c r="A512">
        <v>54</v>
      </c>
      <c r="B512" t="s">
        <v>43</v>
      </c>
      <c r="C512">
        <f>IF(Table1[[#This Row],[Attrition]]="Yes",1,0)</f>
        <v>0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3">
      <c r="A513">
        <v>36</v>
      </c>
      <c r="B513" t="s">
        <v>43</v>
      </c>
      <c r="C513">
        <f>IF(Table1[[#This Row],[Attrition]]="Yes",1,0)</f>
        <v>0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3">
      <c r="A514">
        <v>27</v>
      </c>
      <c r="B514" t="s">
        <v>43</v>
      </c>
      <c r="C514">
        <f>IF(Table1[[#This Row],[Attrition]]="Yes",1,0)</f>
        <v>0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3">
      <c r="A515">
        <v>20</v>
      </c>
      <c r="B515" t="s">
        <v>35</v>
      </c>
      <c r="C515">
        <f>IF(Table1[[#This Row],[Attrition]]="Yes",1,0)</f>
        <v>1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3">
      <c r="A516">
        <v>33</v>
      </c>
      <c r="B516" t="s">
        <v>35</v>
      </c>
      <c r="C516">
        <f>IF(Table1[[#This Row],[Attrition]]="Yes",1,0)</f>
        <v>1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3">
      <c r="A517">
        <v>35</v>
      </c>
      <c r="B517" t="s">
        <v>43</v>
      </c>
      <c r="C517">
        <f>IF(Table1[[#This Row],[Attrition]]="Yes",1,0)</f>
        <v>0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t="s">
        <v>43</v>
      </c>
      <c r="C518">
        <f>IF(Table1[[#This Row],[Attrition]]="Yes",1,0)</f>
        <v>0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3">
      <c r="A519">
        <v>25</v>
      </c>
      <c r="B519" t="s">
        <v>43</v>
      </c>
      <c r="C519">
        <f>IF(Table1[[#This Row],[Attrition]]="Yes",1,0)</f>
        <v>0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3">
      <c r="A520">
        <v>38</v>
      </c>
      <c r="B520" t="s">
        <v>43</v>
      </c>
      <c r="C520">
        <f>IF(Table1[[#This Row],[Attrition]]="Yes",1,0)</f>
        <v>0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3">
      <c r="A521">
        <v>29</v>
      </c>
      <c r="B521" t="s">
        <v>43</v>
      </c>
      <c r="C521">
        <f>IF(Table1[[#This Row],[Attrition]]="Yes",1,0)</f>
        <v>0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3">
      <c r="A522">
        <v>48</v>
      </c>
      <c r="B522" t="s">
        <v>43</v>
      </c>
      <c r="C522">
        <f>IF(Table1[[#This Row],[Attrition]]="Yes",1,0)</f>
        <v>0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3">
      <c r="A523">
        <v>27</v>
      </c>
      <c r="B523" t="s">
        <v>43</v>
      </c>
      <c r="C523">
        <f>IF(Table1[[#This Row],[Attrition]]="Yes",1,0)</f>
        <v>0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3">
      <c r="A524">
        <v>37</v>
      </c>
      <c r="B524" t="s">
        <v>43</v>
      </c>
      <c r="C524">
        <f>IF(Table1[[#This Row],[Attrition]]="Yes",1,0)</f>
        <v>0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t="s">
        <v>43</v>
      </c>
      <c r="C525">
        <f>IF(Table1[[#This Row],[Attrition]]="Yes",1,0)</f>
        <v>0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3">
      <c r="A526">
        <v>34</v>
      </c>
      <c r="B526" t="s">
        <v>43</v>
      </c>
      <c r="C526">
        <f>IF(Table1[[#This Row],[Attrition]]="Yes",1,0)</f>
        <v>0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3">
      <c r="A527">
        <v>24</v>
      </c>
      <c r="B527" t="s">
        <v>35</v>
      </c>
      <c r="C527">
        <f>IF(Table1[[#This Row],[Attrition]]="Yes",1,0)</f>
        <v>1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3">
      <c r="A528">
        <v>39</v>
      </c>
      <c r="B528" t="s">
        <v>43</v>
      </c>
      <c r="C528">
        <f>IF(Table1[[#This Row],[Attrition]]="Yes",1,0)</f>
        <v>0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3">
      <c r="A529">
        <v>32</v>
      </c>
      <c r="B529" t="s">
        <v>43</v>
      </c>
      <c r="C529">
        <f>IF(Table1[[#This Row],[Attrition]]="Yes",1,0)</f>
        <v>0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3">
      <c r="A530">
        <v>50</v>
      </c>
      <c r="B530" t="s">
        <v>35</v>
      </c>
      <c r="C530">
        <f>IF(Table1[[#This Row],[Attrition]]="Yes",1,0)</f>
        <v>1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3">
      <c r="A531">
        <v>38</v>
      </c>
      <c r="B531" t="s">
        <v>43</v>
      </c>
      <c r="C531">
        <f>IF(Table1[[#This Row],[Attrition]]="Yes",1,0)</f>
        <v>0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3">
      <c r="A532">
        <v>27</v>
      </c>
      <c r="B532" t="s">
        <v>43</v>
      </c>
      <c r="C532">
        <f>IF(Table1[[#This Row],[Attrition]]="Yes",1,0)</f>
        <v>0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3">
      <c r="A533">
        <v>32</v>
      </c>
      <c r="B533" t="s">
        <v>43</v>
      </c>
      <c r="C533">
        <f>IF(Table1[[#This Row],[Attrition]]="Yes",1,0)</f>
        <v>0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3">
      <c r="A534">
        <v>47</v>
      </c>
      <c r="B534" t="s">
        <v>43</v>
      </c>
      <c r="C534">
        <f>IF(Table1[[#This Row],[Attrition]]="Yes",1,0)</f>
        <v>0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3">
      <c r="A535">
        <v>40</v>
      </c>
      <c r="B535" t="s">
        <v>43</v>
      </c>
      <c r="C535">
        <f>IF(Table1[[#This Row],[Attrition]]="Yes",1,0)</f>
        <v>0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3">
      <c r="A536">
        <v>53</v>
      </c>
      <c r="B536" t="s">
        <v>43</v>
      </c>
      <c r="C536">
        <f>IF(Table1[[#This Row],[Attrition]]="Yes",1,0)</f>
        <v>0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3">
      <c r="A537">
        <v>41</v>
      </c>
      <c r="B537" t="s">
        <v>43</v>
      </c>
      <c r="C537">
        <f>IF(Table1[[#This Row],[Attrition]]="Yes",1,0)</f>
        <v>0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3">
      <c r="A538">
        <v>60</v>
      </c>
      <c r="B538" t="s">
        <v>43</v>
      </c>
      <c r="C538">
        <f>IF(Table1[[#This Row],[Attrition]]="Yes",1,0)</f>
        <v>0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3">
      <c r="A539">
        <v>27</v>
      </c>
      <c r="B539" t="s">
        <v>43</v>
      </c>
      <c r="C539">
        <f>IF(Table1[[#This Row],[Attrition]]="Yes",1,0)</f>
        <v>0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3">
      <c r="A540">
        <v>41</v>
      </c>
      <c r="B540" t="s">
        <v>43</v>
      </c>
      <c r="C540">
        <f>IF(Table1[[#This Row],[Attrition]]="Yes",1,0)</f>
        <v>0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3">
      <c r="A541">
        <v>50</v>
      </c>
      <c r="B541" t="s">
        <v>43</v>
      </c>
      <c r="C541">
        <f>IF(Table1[[#This Row],[Attrition]]="Yes",1,0)</f>
        <v>0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3">
      <c r="A542">
        <v>28</v>
      </c>
      <c r="B542" t="s">
        <v>35</v>
      </c>
      <c r="C542">
        <f>IF(Table1[[#This Row],[Attrition]]="Yes",1,0)</f>
        <v>1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3">
      <c r="A543">
        <v>36</v>
      </c>
      <c r="B543" t="s">
        <v>43</v>
      </c>
      <c r="C543">
        <f>IF(Table1[[#This Row],[Attrition]]="Yes",1,0)</f>
        <v>0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3">
      <c r="A544">
        <v>38</v>
      </c>
      <c r="B544" t="s">
        <v>43</v>
      </c>
      <c r="C544">
        <f>IF(Table1[[#This Row],[Attrition]]="Yes",1,0)</f>
        <v>0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t="s">
        <v>43</v>
      </c>
      <c r="C545">
        <f>IF(Table1[[#This Row],[Attrition]]="Yes",1,0)</f>
        <v>0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3">
      <c r="A546">
        <v>47</v>
      </c>
      <c r="B546" t="s">
        <v>43</v>
      </c>
      <c r="C546">
        <f>IF(Table1[[#This Row],[Attrition]]="Yes",1,0)</f>
        <v>0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3">
      <c r="A547">
        <v>30</v>
      </c>
      <c r="B547" t="s">
        <v>43</v>
      </c>
      <c r="C547">
        <f>IF(Table1[[#This Row],[Attrition]]="Yes",1,0)</f>
        <v>0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3">
      <c r="A548">
        <v>29</v>
      </c>
      <c r="B548" t="s">
        <v>43</v>
      </c>
      <c r="C548">
        <f>IF(Table1[[#This Row],[Attrition]]="Yes",1,0)</f>
        <v>0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t="s">
        <v>35</v>
      </c>
      <c r="C549">
        <f>IF(Table1[[#This Row],[Attrition]]="Yes",1,0)</f>
        <v>1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3">
      <c r="A550">
        <v>43</v>
      </c>
      <c r="B550" t="s">
        <v>43</v>
      </c>
      <c r="C550">
        <f>IF(Table1[[#This Row],[Attrition]]="Yes",1,0)</f>
        <v>0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3">
      <c r="A551">
        <v>34</v>
      </c>
      <c r="B551" t="s">
        <v>43</v>
      </c>
      <c r="C551">
        <f>IF(Table1[[#This Row],[Attrition]]="Yes",1,0)</f>
        <v>0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3">
      <c r="A552">
        <v>23</v>
      </c>
      <c r="B552" t="s">
        <v>43</v>
      </c>
      <c r="C552">
        <f>IF(Table1[[#This Row],[Attrition]]="Yes",1,0)</f>
        <v>0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3">
      <c r="A553">
        <v>39</v>
      </c>
      <c r="B553" t="s">
        <v>43</v>
      </c>
      <c r="C553">
        <f>IF(Table1[[#This Row],[Attrition]]="Yes",1,0)</f>
        <v>0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3">
      <c r="A554">
        <v>56</v>
      </c>
      <c r="B554" t="s">
        <v>43</v>
      </c>
      <c r="C554">
        <f>IF(Table1[[#This Row],[Attrition]]="Yes",1,0)</f>
        <v>0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3">
      <c r="A555">
        <v>40</v>
      </c>
      <c r="B555" t="s">
        <v>43</v>
      </c>
      <c r="C555">
        <f>IF(Table1[[#This Row],[Attrition]]="Yes",1,0)</f>
        <v>0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3">
      <c r="A556">
        <v>27</v>
      </c>
      <c r="B556" t="s">
        <v>43</v>
      </c>
      <c r="C556">
        <f>IF(Table1[[#This Row],[Attrition]]="Yes",1,0)</f>
        <v>0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3">
      <c r="A557">
        <v>29</v>
      </c>
      <c r="B557" t="s">
        <v>43</v>
      </c>
      <c r="C557">
        <f>IF(Table1[[#This Row],[Attrition]]="Yes",1,0)</f>
        <v>0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3">
      <c r="A558">
        <v>53</v>
      </c>
      <c r="B558" t="s">
        <v>43</v>
      </c>
      <c r="C558">
        <f>IF(Table1[[#This Row],[Attrition]]="Yes",1,0)</f>
        <v>0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3">
      <c r="A559">
        <v>35</v>
      </c>
      <c r="B559" t="s">
        <v>43</v>
      </c>
      <c r="C559">
        <f>IF(Table1[[#This Row],[Attrition]]="Yes",1,0)</f>
        <v>0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t="s">
        <v>43</v>
      </c>
      <c r="C560">
        <f>IF(Table1[[#This Row],[Attrition]]="Yes",1,0)</f>
        <v>0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3">
      <c r="A561">
        <v>38</v>
      </c>
      <c r="B561" t="s">
        <v>43</v>
      </c>
      <c r="C561">
        <f>IF(Table1[[#This Row],[Attrition]]="Yes",1,0)</f>
        <v>0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3">
      <c r="A562">
        <v>34</v>
      </c>
      <c r="B562" t="s">
        <v>43</v>
      </c>
      <c r="C562">
        <f>IF(Table1[[#This Row],[Attrition]]="Yes",1,0)</f>
        <v>0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t="s">
        <v>43</v>
      </c>
      <c r="C563">
        <f>IF(Table1[[#This Row],[Attrition]]="Yes",1,0)</f>
        <v>0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3">
      <c r="A564">
        <v>33</v>
      </c>
      <c r="B564" t="s">
        <v>35</v>
      </c>
      <c r="C564">
        <f>IF(Table1[[#This Row],[Attrition]]="Yes",1,0)</f>
        <v>1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3">
      <c r="A565">
        <v>25</v>
      </c>
      <c r="B565" t="s">
        <v>43</v>
      </c>
      <c r="C565">
        <f>IF(Table1[[#This Row],[Attrition]]="Yes",1,0)</f>
        <v>0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3">
      <c r="A566">
        <v>45</v>
      </c>
      <c r="B566" t="s">
        <v>43</v>
      </c>
      <c r="C566">
        <f>IF(Table1[[#This Row],[Attrition]]="Yes",1,0)</f>
        <v>0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3">
      <c r="A567">
        <v>23</v>
      </c>
      <c r="B567" t="s">
        <v>43</v>
      </c>
      <c r="C567">
        <f>IF(Table1[[#This Row],[Attrition]]="Yes",1,0)</f>
        <v>0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3">
      <c r="A568">
        <v>47</v>
      </c>
      <c r="B568" t="s">
        <v>35</v>
      </c>
      <c r="C568">
        <f>IF(Table1[[#This Row],[Attrition]]="Yes",1,0)</f>
        <v>1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3">
      <c r="A569">
        <v>34</v>
      </c>
      <c r="B569" t="s">
        <v>43</v>
      </c>
      <c r="C569">
        <f>IF(Table1[[#This Row],[Attrition]]="Yes",1,0)</f>
        <v>0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3">
      <c r="A570">
        <v>55</v>
      </c>
      <c r="B570" t="s">
        <v>35</v>
      </c>
      <c r="C570">
        <f>IF(Table1[[#This Row],[Attrition]]="Yes",1,0)</f>
        <v>1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3">
      <c r="A571">
        <v>36</v>
      </c>
      <c r="B571" t="s">
        <v>43</v>
      </c>
      <c r="C571">
        <f>IF(Table1[[#This Row],[Attrition]]="Yes",1,0)</f>
        <v>0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3">
      <c r="A572">
        <v>52</v>
      </c>
      <c r="B572" t="s">
        <v>43</v>
      </c>
      <c r="C572">
        <f>IF(Table1[[#This Row],[Attrition]]="Yes",1,0)</f>
        <v>0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3">
      <c r="A573">
        <v>26</v>
      </c>
      <c r="B573" t="s">
        <v>43</v>
      </c>
      <c r="C573">
        <f>IF(Table1[[#This Row],[Attrition]]="Yes",1,0)</f>
        <v>0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3">
      <c r="A574">
        <v>29</v>
      </c>
      <c r="B574" t="s">
        <v>43</v>
      </c>
      <c r="C574">
        <f>IF(Table1[[#This Row],[Attrition]]="Yes",1,0)</f>
        <v>0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3">
      <c r="A575">
        <v>26</v>
      </c>
      <c r="B575" t="s">
        <v>35</v>
      </c>
      <c r="C575">
        <f>IF(Table1[[#This Row],[Attrition]]="Yes",1,0)</f>
        <v>1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3">
      <c r="A576">
        <v>34</v>
      </c>
      <c r="B576" t="s">
        <v>43</v>
      </c>
      <c r="C576">
        <f>IF(Table1[[#This Row],[Attrition]]="Yes",1,0)</f>
        <v>0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3">
      <c r="A577">
        <v>54</v>
      </c>
      <c r="B577" t="s">
        <v>43</v>
      </c>
      <c r="C577">
        <f>IF(Table1[[#This Row],[Attrition]]="Yes",1,0)</f>
        <v>0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3">
      <c r="A578">
        <v>27</v>
      </c>
      <c r="B578" t="s">
        <v>43</v>
      </c>
      <c r="C578">
        <f>IF(Table1[[#This Row],[Attrition]]="Yes",1,0)</f>
        <v>0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3">
      <c r="A579">
        <v>37</v>
      </c>
      <c r="B579" t="s">
        <v>43</v>
      </c>
      <c r="C579">
        <f>IF(Table1[[#This Row],[Attrition]]="Yes",1,0)</f>
        <v>0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3">
      <c r="A580">
        <v>38</v>
      </c>
      <c r="B580" t="s">
        <v>43</v>
      </c>
      <c r="C580">
        <f>IF(Table1[[#This Row],[Attrition]]="Yes",1,0)</f>
        <v>0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3">
      <c r="A581">
        <v>34</v>
      </c>
      <c r="B581" t="s">
        <v>43</v>
      </c>
      <c r="C581">
        <f>IF(Table1[[#This Row],[Attrition]]="Yes",1,0)</f>
        <v>0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3">
      <c r="A582">
        <v>35</v>
      </c>
      <c r="B582" t="s">
        <v>43</v>
      </c>
      <c r="C582">
        <f>IF(Table1[[#This Row],[Attrition]]="Yes",1,0)</f>
        <v>0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3">
      <c r="A583">
        <v>30</v>
      </c>
      <c r="B583" t="s">
        <v>43</v>
      </c>
      <c r="C583">
        <f>IF(Table1[[#This Row],[Attrition]]="Yes",1,0)</f>
        <v>0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3">
      <c r="A584">
        <v>40</v>
      </c>
      <c r="B584" t="s">
        <v>43</v>
      </c>
      <c r="C584">
        <f>IF(Table1[[#This Row],[Attrition]]="Yes",1,0)</f>
        <v>0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3">
      <c r="A585">
        <v>34</v>
      </c>
      <c r="B585" t="s">
        <v>43</v>
      </c>
      <c r="C585">
        <f>IF(Table1[[#This Row],[Attrition]]="Yes",1,0)</f>
        <v>0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3">
      <c r="A586">
        <v>42</v>
      </c>
      <c r="B586" t="s">
        <v>43</v>
      </c>
      <c r="C586">
        <f>IF(Table1[[#This Row],[Attrition]]="Yes",1,0)</f>
        <v>0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3">
      <c r="A587">
        <v>23</v>
      </c>
      <c r="B587" t="s">
        <v>35</v>
      </c>
      <c r="C587">
        <f>IF(Table1[[#This Row],[Attrition]]="Yes",1,0)</f>
        <v>1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>
        <v>24</v>
      </c>
      <c r="B588" t="s">
        <v>43</v>
      </c>
      <c r="C588">
        <f>IF(Table1[[#This Row],[Attrition]]="Yes",1,0)</f>
        <v>0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t="s">
        <v>43</v>
      </c>
      <c r="C589">
        <f>IF(Table1[[#This Row],[Attrition]]="Yes",1,0)</f>
        <v>0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3">
      <c r="A590">
        <v>50</v>
      </c>
      <c r="B590" t="s">
        <v>43</v>
      </c>
      <c r="C590">
        <f>IF(Table1[[#This Row],[Attrition]]="Yes",1,0)</f>
        <v>0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3">
      <c r="A591">
        <v>29</v>
      </c>
      <c r="B591" t="s">
        <v>35</v>
      </c>
      <c r="C591">
        <f>IF(Table1[[#This Row],[Attrition]]="Yes",1,0)</f>
        <v>1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3">
      <c r="A592">
        <v>33</v>
      </c>
      <c r="B592" t="s">
        <v>43</v>
      </c>
      <c r="C592">
        <f>IF(Table1[[#This Row],[Attrition]]="Yes",1,0)</f>
        <v>0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3">
      <c r="A593">
        <v>33</v>
      </c>
      <c r="B593" t="s">
        <v>35</v>
      </c>
      <c r="C593">
        <f>IF(Table1[[#This Row],[Attrition]]="Yes",1,0)</f>
        <v>1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3">
      <c r="A594">
        <v>47</v>
      </c>
      <c r="B594" t="s">
        <v>43</v>
      </c>
      <c r="C594">
        <f>IF(Table1[[#This Row],[Attrition]]="Yes",1,0)</f>
        <v>0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3">
      <c r="A595">
        <v>36</v>
      </c>
      <c r="B595" t="s">
        <v>43</v>
      </c>
      <c r="C595">
        <f>IF(Table1[[#This Row],[Attrition]]="Yes",1,0)</f>
        <v>0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3">
      <c r="A596">
        <v>29</v>
      </c>
      <c r="B596" t="s">
        <v>43</v>
      </c>
      <c r="C596">
        <f>IF(Table1[[#This Row],[Attrition]]="Yes",1,0)</f>
        <v>0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3">
      <c r="A597">
        <v>58</v>
      </c>
      <c r="B597" t="s">
        <v>35</v>
      </c>
      <c r="C597">
        <f>IF(Table1[[#This Row],[Attrition]]="Yes",1,0)</f>
        <v>1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3">
      <c r="A598">
        <v>35</v>
      </c>
      <c r="B598" t="s">
        <v>43</v>
      </c>
      <c r="C598">
        <f>IF(Table1[[#This Row],[Attrition]]="Yes",1,0)</f>
        <v>0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3">
      <c r="A599">
        <v>42</v>
      </c>
      <c r="B599" t="s">
        <v>43</v>
      </c>
      <c r="C599">
        <f>IF(Table1[[#This Row],[Attrition]]="Yes",1,0)</f>
        <v>0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3">
      <c r="A600">
        <v>28</v>
      </c>
      <c r="B600" t="s">
        <v>35</v>
      </c>
      <c r="C600">
        <f>IF(Table1[[#This Row],[Attrition]]="Yes",1,0)</f>
        <v>1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3">
      <c r="A601">
        <v>36</v>
      </c>
      <c r="B601" t="s">
        <v>43</v>
      </c>
      <c r="C601">
        <f>IF(Table1[[#This Row],[Attrition]]="Yes",1,0)</f>
        <v>0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3">
      <c r="A602">
        <v>32</v>
      </c>
      <c r="B602" t="s">
        <v>43</v>
      </c>
      <c r="C602">
        <f>IF(Table1[[#This Row],[Attrition]]="Yes",1,0)</f>
        <v>0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3">
      <c r="A603">
        <v>40</v>
      </c>
      <c r="B603" t="s">
        <v>43</v>
      </c>
      <c r="C603">
        <f>IF(Table1[[#This Row],[Attrition]]="Yes",1,0)</f>
        <v>0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t="s">
        <v>43</v>
      </c>
      <c r="C604">
        <f>IF(Table1[[#This Row],[Attrition]]="Yes",1,0)</f>
        <v>0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t="s">
        <v>43</v>
      </c>
      <c r="C605">
        <f>IF(Table1[[#This Row],[Attrition]]="Yes",1,0)</f>
        <v>0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t="s">
        <v>43</v>
      </c>
      <c r="C606">
        <f>IF(Table1[[#This Row],[Attrition]]="Yes",1,0)</f>
        <v>0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3">
      <c r="A607">
        <v>38</v>
      </c>
      <c r="B607" t="s">
        <v>43</v>
      </c>
      <c r="C607">
        <f>IF(Table1[[#This Row],[Attrition]]="Yes",1,0)</f>
        <v>0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3">
      <c r="A608">
        <v>34</v>
      </c>
      <c r="B608" t="s">
        <v>43</v>
      </c>
      <c r="C608">
        <f>IF(Table1[[#This Row],[Attrition]]="Yes",1,0)</f>
        <v>0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3">
      <c r="A609">
        <v>49</v>
      </c>
      <c r="B609" t="s">
        <v>35</v>
      </c>
      <c r="C609">
        <f>IF(Table1[[#This Row],[Attrition]]="Yes",1,0)</f>
        <v>1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3">
      <c r="A610">
        <v>55</v>
      </c>
      <c r="B610" t="s">
        <v>35</v>
      </c>
      <c r="C610">
        <f>IF(Table1[[#This Row],[Attrition]]="Yes",1,0)</f>
        <v>1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3">
      <c r="A611">
        <v>43</v>
      </c>
      <c r="B611" t="s">
        <v>43</v>
      </c>
      <c r="C611">
        <f>IF(Table1[[#This Row],[Attrition]]="Yes",1,0)</f>
        <v>0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3">
      <c r="A612">
        <v>27</v>
      </c>
      <c r="B612" t="s">
        <v>43</v>
      </c>
      <c r="C612">
        <f>IF(Table1[[#This Row],[Attrition]]="Yes",1,0)</f>
        <v>0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3">
      <c r="A613">
        <v>35</v>
      </c>
      <c r="B613" t="s">
        <v>43</v>
      </c>
      <c r="C613">
        <f>IF(Table1[[#This Row],[Attrition]]="Yes",1,0)</f>
        <v>0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3">
      <c r="A614">
        <v>28</v>
      </c>
      <c r="B614" t="s">
        <v>43</v>
      </c>
      <c r="C614">
        <f>IF(Table1[[#This Row],[Attrition]]="Yes",1,0)</f>
        <v>0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3">
      <c r="A615">
        <v>34</v>
      </c>
      <c r="B615" t="s">
        <v>43</v>
      </c>
      <c r="C615">
        <f>IF(Table1[[#This Row],[Attrition]]="Yes",1,0)</f>
        <v>0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3">
      <c r="A616">
        <v>26</v>
      </c>
      <c r="B616" t="s">
        <v>35</v>
      </c>
      <c r="C616">
        <f>IF(Table1[[#This Row],[Attrition]]="Yes",1,0)</f>
        <v>1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3">
      <c r="A617">
        <v>27</v>
      </c>
      <c r="B617" t="s">
        <v>43</v>
      </c>
      <c r="C617">
        <f>IF(Table1[[#This Row],[Attrition]]="Yes",1,0)</f>
        <v>0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t="s">
        <v>43</v>
      </c>
      <c r="C618">
        <f>IF(Table1[[#This Row],[Attrition]]="Yes",1,0)</f>
        <v>0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3">
      <c r="A619">
        <v>44</v>
      </c>
      <c r="B619" t="s">
        <v>43</v>
      </c>
      <c r="C619">
        <f>IF(Table1[[#This Row],[Attrition]]="Yes",1,0)</f>
        <v>0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3">
      <c r="A620">
        <v>25</v>
      </c>
      <c r="B620" t="s">
        <v>43</v>
      </c>
      <c r="C620">
        <f>IF(Table1[[#This Row],[Attrition]]="Yes",1,0)</f>
        <v>0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3">
      <c r="A621">
        <v>33</v>
      </c>
      <c r="B621" t="s">
        <v>43</v>
      </c>
      <c r="C621">
        <f>IF(Table1[[#This Row],[Attrition]]="Yes",1,0)</f>
        <v>0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3">
      <c r="A622">
        <v>35</v>
      </c>
      <c r="B622" t="s">
        <v>43</v>
      </c>
      <c r="C622">
        <f>IF(Table1[[#This Row],[Attrition]]="Yes",1,0)</f>
        <v>0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3">
      <c r="A623">
        <v>36</v>
      </c>
      <c r="B623" t="s">
        <v>43</v>
      </c>
      <c r="C623">
        <f>IF(Table1[[#This Row],[Attrition]]="Yes",1,0)</f>
        <v>0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3">
      <c r="A624">
        <v>32</v>
      </c>
      <c r="B624" t="s">
        <v>43</v>
      </c>
      <c r="C624">
        <f>IF(Table1[[#This Row],[Attrition]]="Yes",1,0)</f>
        <v>0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3">
      <c r="A625">
        <v>30</v>
      </c>
      <c r="B625" t="s">
        <v>43</v>
      </c>
      <c r="C625">
        <f>IF(Table1[[#This Row],[Attrition]]="Yes",1,0)</f>
        <v>0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3">
      <c r="A626">
        <v>53</v>
      </c>
      <c r="B626" t="s">
        <v>43</v>
      </c>
      <c r="C626">
        <f>IF(Table1[[#This Row],[Attrition]]="Yes",1,0)</f>
        <v>0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3">
      <c r="A627">
        <v>45</v>
      </c>
      <c r="B627" t="s">
        <v>43</v>
      </c>
      <c r="C627">
        <f>IF(Table1[[#This Row],[Attrition]]="Yes",1,0)</f>
        <v>0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3">
      <c r="A628">
        <v>32</v>
      </c>
      <c r="B628" t="s">
        <v>43</v>
      </c>
      <c r="C628">
        <f>IF(Table1[[#This Row],[Attrition]]="Yes",1,0)</f>
        <v>0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3">
      <c r="A629">
        <v>52</v>
      </c>
      <c r="B629" t="s">
        <v>43</v>
      </c>
      <c r="C629">
        <f>IF(Table1[[#This Row],[Attrition]]="Yes",1,0)</f>
        <v>0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3">
      <c r="A630">
        <v>37</v>
      </c>
      <c r="B630" t="s">
        <v>43</v>
      </c>
      <c r="C630">
        <f>IF(Table1[[#This Row],[Attrition]]="Yes",1,0)</f>
        <v>0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t="s">
        <v>43</v>
      </c>
      <c r="C631">
        <f>IF(Table1[[#This Row],[Attrition]]="Yes",1,0)</f>
        <v>0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3">
      <c r="A632">
        <v>22</v>
      </c>
      <c r="B632" t="s">
        <v>43</v>
      </c>
      <c r="C632">
        <f>IF(Table1[[#This Row],[Attrition]]="Yes",1,0)</f>
        <v>0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3">
      <c r="A633">
        <v>44</v>
      </c>
      <c r="B633" t="s">
        <v>43</v>
      </c>
      <c r="C633">
        <f>IF(Table1[[#This Row],[Attrition]]="Yes",1,0)</f>
        <v>0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3">
      <c r="A634">
        <v>42</v>
      </c>
      <c r="B634" t="s">
        <v>43</v>
      </c>
      <c r="C634">
        <f>IF(Table1[[#This Row],[Attrition]]="Yes",1,0)</f>
        <v>0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3">
      <c r="A635">
        <v>36</v>
      </c>
      <c r="B635" t="s">
        <v>43</v>
      </c>
      <c r="C635">
        <f>IF(Table1[[#This Row],[Attrition]]="Yes",1,0)</f>
        <v>0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3">
      <c r="A636">
        <v>25</v>
      </c>
      <c r="B636" t="s">
        <v>43</v>
      </c>
      <c r="C636">
        <f>IF(Table1[[#This Row],[Attrition]]="Yes",1,0)</f>
        <v>0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3">
      <c r="A637">
        <v>35</v>
      </c>
      <c r="B637" t="s">
        <v>43</v>
      </c>
      <c r="C637">
        <f>IF(Table1[[#This Row],[Attrition]]="Yes",1,0)</f>
        <v>0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3">
      <c r="A638">
        <v>35</v>
      </c>
      <c r="B638" t="s">
        <v>35</v>
      </c>
      <c r="C638">
        <f>IF(Table1[[#This Row],[Attrition]]="Yes",1,0)</f>
        <v>1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3">
      <c r="A639">
        <v>32</v>
      </c>
      <c r="B639" t="s">
        <v>43</v>
      </c>
      <c r="C639">
        <f>IF(Table1[[#This Row],[Attrition]]="Yes",1,0)</f>
        <v>0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3">
      <c r="A640">
        <v>25</v>
      </c>
      <c r="B640" t="s">
        <v>43</v>
      </c>
      <c r="C640">
        <f>IF(Table1[[#This Row],[Attrition]]="Yes",1,0)</f>
        <v>0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3">
      <c r="A641">
        <v>49</v>
      </c>
      <c r="B641" t="s">
        <v>43</v>
      </c>
      <c r="C641">
        <f>IF(Table1[[#This Row],[Attrition]]="Yes",1,0)</f>
        <v>0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3">
      <c r="A642">
        <v>24</v>
      </c>
      <c r="B642" t="s">
        <v>43</v>
      </c>
      <c r="C642">
        <f>IF(Table1[[#This Row],[Attrition]]="Yes",1,0)</f>
        <v>0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3">
      <c r="A643">
        <v>32</v>
      </c>
      <c r="B643" t="s">
        <v>43</v>
      </c>
      <c r="C643">
        <f>IF(Table1[[#This Row],[Attrition]]="Yes",1,0)</f>
        <v>0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3">
      <c r="A644">
        <v>38</v>
      </c>
      <c r="B644" t="s">
        <v>43</v>
      </c>
      <c r="C644">
        <f>IF(Table1[[#This Row],[Attrition]]="Yes",1,0)</f>
        <v>0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3">
      <c r="A645">
        <v>42</v>
      </c>
      <c r="B645" t="s">
        <v>43</v>
      </c>
      <c r="C645">
        <f>IF(Table1[[#This Row],[Attrition]]="Yes",1,0)</f>
        <v>0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3">
      <c r="A646">
        <v>31</v>
      </c>
      <c r="B646" t="s">
        <v>43</v>
      </c>
      <c r="C646">
        <f>IF(Table1[[#This Row],[Attrition]]="Yes",1,0)</f>
        <v>0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3">
      <c r="A647">
        <v>29</v>
      </c>
      <c r="B647" t="s">
        <v>35</v>
      </c>
      <c r="C647">
        <f>IF(Table1[[#This Row],[Attrition]]="Yes",1,0)</f>
        <v>1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3">
      <c r="A648">
        <v>53</v>
      </c>
      <c r="B648" t="s">
        <v>43</v>
      </c>
      <c r="C648">
        <f>IF(Table1[[#This Row],[Attrition]]="Yes",1,0)</f>
        <v>0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3">
      <c r="A649">
        <v>35</v>
      </c>
      <c r="B649" t="s">
        <v>43</v>
      </c>
      <c r="C649">
        <f>IF(Table1[[#This Row],[Attrition]]="Yes",1,0)</f>
        <v>0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3">
      <c r="A650">
        <v>37</v>
      </c>
      <c r="B650" t="s">
        <v>43</v>
      </c>
      <c r="C650">
        <f>IF(Table1[[#This Row],[Attrition]]="Yes",1,0)</f>
        <v>0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3">
      <c r="A651">
        <v>53</v>
      </c>
      <c r="B651" t="s">
        <v>43</v>
      </c>
      <c r="C651">
        <f>IF(Table1[[#This Row],[Attrition]]="Yes",1,0)</f>
        <v>0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3">
      <c r="A652">
        <v>43</v>
      </c>
      <c r="B652" t="s">
        <v>43</v>
      </c>
      <c r="C652">
        <f>IF(Table1[[#This Row],[Attrition]]="Yes",1,0)</f>
        <v>0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3">
      <c r="A653">
        <v>47</v>
      </c>
      <c r="B653" t="s">
        <v>43</v>
      </c>
      <c r="C653">
        <f>IF(Table1[[#This Row],[Attrition]]="Yes",1,0)</f>
        <v>0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3">
      <c r="A654">
        <v>37</v>
      </c>
      <c r="B654" t="s">
        <v>43</v>
      </c>
      <c r="C654">
        <f>IF(Table1[[#This Row],[Attrition]]="Yes",1,0)</f>
        <v>0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3">
      <c r="A655">
        <v>50</v>
      </c>
      <c r="B655" t="s">
        <v>43</v>
      </c>
      <c r="C655">
        <f>IF(Table1[[#This Row],[Attrition]]="Yes",1,0)</f>
        <v>0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3">
      <c r="A656">
        <v>39</v>
      </c>
      <c r="B656" t="s">
        <v>43</v>
      </c>
      <c r="C656">
        <f>IF(Table1[[#This Row],[Attrition]]="Yes",1,0)</f>
        <v>0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3">
      <c r="A657">
        <v>33</v>
      </c>
      <c r="B657" t="s">
        <v>43</v>
      </c>
      <c r="C657">
        <f>IF(Table1[[#This Row],[Attrition]]="Yes",1,0)</f>
        <v>0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3">
      <c r="A658">
        <v>32</v>
      </c>
      <c r="B658" t="s">
        <v>35</v>
      </c>
      <c r="C658">
        <f>IF(Table1[[#This Row],[Attrition]]="Yes",1,0)</f>
        <v>1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3">
      <c r="A659">
        <v>29</v>
      </c>
      <c r="B659" t="s">
        <v>43</v>
      </c>
      <c r="C659">
        <f>IF(Table1[[#This Row],[Attrition]]="Yes",1,0)</f>
        <v>0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3">
      <c r="A660">
        <v>44</v>
      </c>
      <c r="B660" t="s">
        <v>43</v>
      </c>
      <c r="C660">
        <f>IF(Table1[[#This Row],[Attrition]]="Yes",1,0)</f>
        <v>0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3">
      <c r="A661">
        <v>28</v>
      </c>
      <c r="B661" t="s">
        <v>43</v>
      </c>
      <c r="C661">
        <f>IF(Table1[[#This Row],[Attrition]]="Yes",1,0)</f>
        <v>0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3">
      <c r="A662">
        <v>58</v>
      </c>
      <c r="B662" t="s">
        <v>35</v>
      </c>
      <c r="C662">
        <f>IF(Table1[[#This Row],[Attrition]]="Yes",1,0)</f>
        <v>1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3">
      <c r="A663">
        <v>43</v>
      </c>
      <c r="B663" t="s">
        <v>43</v>
      </c>
      <c r="C663">
        <f>IF(Table1[[#This Row],[Attrition]]="Yes",1,0)</f>
        <v>0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t="s">
        <v>35</v>
      </c>
      <c r="C664">
        <f>IF(Table1[[#This Row],[Attrition]]="Yes",1,0)</f>
        <v>1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3">
      <c r="A665">
        <v>21</v>
      </c>
      <c r="B665" t="s">
        <v>35</v>
      </c>
      <c r="C665">
        <f>IF(Table1[[#This Row],[Attrition]]="Yes",1,0)</f>
        <v>1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3">
      <c r="A666">
        <v>36</v>
      </c>
      <c r="B666" t="s">
        <v>43</v>
      </c>
      <c r="C666">
        <f>IF(Table1[[#This Row],[Attrition]]="Yes",1,0)</f>
        <v>0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3">
      <c r="A667">
        <v>47</v>
      </c>
      <c r="B667" t="s">
        <v>43</v>
      </c>
      <c r="C667">
        <f>IF(Table1[[#This Row],[Attrition]]="Yes",1,0)</f>
        <v>0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3">
      <c r="A668">
        <v>22</v>
      </c>
      <c r="B668" t="s">
        <v>35</v>
      </c>
      <c r="C668">
        <f>IF(Table1[[#This Row],[Attrition]]="Yes",1,0)</f>
        <v>1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3">
      <c r="A669">
        <v>41</v>
      </c>
      <c r="B669" t="s">
        <v>35</v>
      </c>
      <c r="C669">
        <f>IF(Table1[[#This Row],[Attrition]]="Yes",1,0)</f>
        <v>1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3">
      <c r="A670">
        <v>28</v>
      </c>
      <c r="B670" t="s">
        <v>43</v>
      </c>
      <c r="C670">
        <f>IF(Table1[[#This Row],[Attrition]]="Yes",1,0)</f>
        <v>0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3">
      <c r="A671">
        <v>39</v>
      </c>
      <c r="B671" t="s">
        <v>35</v>
      </c>
      <c r="C671">
        <f>IF(Table1[[#This Row],[Attrition]]="Yes",1,0)</f>
        <v>1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3">
      <c r="A672">
        <v>27</v>
      </c>
      <c r="B672" t="s">
        <v>43</v>
      </c>
      <c r="C672">
        <f>IF(Table1[[#This Row],[Attrition]]="Yes",1,0)</f>
        <v>0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3">
      <c r="A673">
        <v>34</v>
      </c>
      <c r="B673" t="s">
        <v>43</v>
      </c>
      <c r="C673">
        <f>IF(Table1[[#This Row],[Attrition]]="Yes",1,0)</f>
        <v>0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3">
      <c r="A674">
        <v>42</v>
      </c>
      <c r="B674" t="s">
        <v>43</v>
      </c>
      <c r="C674">
        <f>IF(Table1[[#This Row],[Attrition]]="Yes",1,0)</f>
        <v>0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3">
      <c r="A675">
        <v>33</v>
      </c>
      <c r="B675" t="s">
        <v>43</v>
      </c>
      <c r="C675">
        <f>IF(Table1[[#This Row],[Attrition]]="Yes",1,0)</f>
        <v>0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3">
      <c r="A676">
        <v>58</v>
      </c>
      <c r="B676" t="s">
        <v>43</v>
      </c>
      <c r="C676">
        <f>IF(Table1[[#This Row],[Attrition]]="Yes",1,0)</f>
        <v>0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3">
      <c r="A677">
        <v>31</v>
      </c>
      <c r="B677" t="s">
        <v>43</v>
      </c>
      <c r="C677">
        <f>IF(Table1[[#This Row],[Attrition]]="Yes",1,0)</f>
        <v>0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3">
      <c r="A678">
        <v>35</v>
      </c>
      <c r="B678" t="s">
        <v>43</v>
      </c>
      <c r="C678">
        <f>IF(Table1[[#This Row],[Attrition]]="Yes",1,0)</f>
        <v>0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3">
      <c r="A679">
        <v>49</v>
      </c>
      <c r="B679" t="s">
        <v>43</v>
      </c>
      <c r="C679">
        <f>IF(Table1[[#This Row],[Attrition]]="Yes",1,0)</f>
        <v>0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3">
      <c r="A680">
        <v>48</v>
      </c>
      <c r="B680" t="s">
        <v>43</v>
      </c>
      <c r="C680">
        <f>IF(Table1[[#This Row],[Attrition]]="Yes",1,0)</f>
        <v>0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t="s">
        <v>43</v>
      </c>
      <c r="C681">
        <f>IF(Table1[[#This Row],[Attrition]]="Yes",1,0)</f>
        <v>0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3">
      <c r="A682">
        <v>36</v>
      </c>
      <c r="B682" t="s">
        <v>43</v>
      </c>
      <c r="C682">
        <f>IF(Table1[[#This Row],[Attrition]]="Yes",1,0)</f>
        <v>0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3">
      <c r="A683">
        <v>38</v>
      </c>
      <c r="B683" t="s">
        <v>43</v>
      </c>
      <c r="C683">
        <f>IF(Table1[[#This Row],[Attrition]]="Yes",1,0)</f>
        <v>0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3">
      <c r="A684">
        <v>32</v>
      </c>
      <c r="B684" t="s">
        <v>43</v>
      </c>
      <c r="C684">
        <f>IF(Table1[[#This Row],[Attrition]]="Yes",1,0)</f>
        <v>0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3">
      <c r="A685">
        <v>25</v>
      </c>
      <c r="B685" t="s">
        <v>35</v>
      </c>
      <c r="C685">
        <f>IF(Table1[[#This Row],[Attrition]]="Yes",1,0)</f>
        <v>1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3">
      <c r="A686">
        <v>40</v>
      </c>
      <c r="B686" t="s">
        <v>43</v>
      </c>
      <c r="C686">
        <f>IF(Table1[[#This Row],[Attrition]]="Yes",1,0)</f>
        <v>0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t="s">
        <v>43</v>
      </c>
      <c r="C687">
        <f>IF(Table1[[#This Row],[Attrition]]="Yes",1,0)</f>
        <v>0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3">
      <c r="A688">
        <v>41</v>
      </c>
      <c r="B688" t="s">
        <v>43</v>
      </c>
      <c r="C688">
        <f>IF(Table1[[#This Row],[Attrition]]="Yes",1,0)</f>
        <v>0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3">
      <c r="A689">
        <v>36</v>
      </c>
      <c r="B689" t="s">
        <v>43</v>
      </c>
      <c r="C689">
        <f>IF(Table1[[#This Row],[Attrition]]="Yes",1,0)</f>
        <v>0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3">
      <c r="A690">
        <v>19</v>
      </c>
      <c r="B690" t="s">
        <v>35</v>
      </c>
      <c r="C690">
        <f>IF(Table1[[#This Row],[Attrition]]="Yes",1,0)</f>
        <v>1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3">
      <c r="A691">
        <v>20</v>
      </c>
      <c r="B691" t="s">
        <v>35</v>
      </c>
      <c r="C691">
        <f>IF(Table1[[#This Row],[Attrition]]="Yes",1,0)</f>
        <v>1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3">
      <c r="A692">
        <v>31</v>
      </c>
      <c r="B692" t="s">
        <v>43</v>
      </c>
      <c r="C692">
        <f>IF(Table1[[#This Row],[Attrition]]="Yes",1,0)</f>
        <v>0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3">
      <c r="A693">
        <v>40</v>
      </c>
      <c r="B693" t="s">
        <v>43</v>
      </c>
      <c r="C693">
        <f>IF(Table1[[#This Row],[Attrition]]="Yes",1,0)</f>
        <v>0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3">
      <c r="A694">
        <v>32</v>
      </c>
      <c r="B694" t="s">
        <v>43</v>
      </c>
      <c r="C694">
        <f>IF(Table1[[#This Row],[Attrition]]="Yes",1,0)</f>
        <v>0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3">
      <c r="A695">
        <v>36</v>
      </c>
      <c r="B695" t="s">
        <v>35</v>
      </c>
      <c r="C695">
        <f>IF(Table1[[#This Row],[Attrition]]="Yes",1,0)</f>
        <v>1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3">
      <c r="A696">
        <v>33</v>
      </c>
      <c r="B696" t="s">
        <v>43</v>
      </c>
      <c r="C696">
        <f>IF(Table1[[#This Row],[Attrition]]="Yes",1,0)</f>
        <v>0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3">
      <c r="A697">
        <v>37</v>
      </c>
      <c r="B697" t="s">
        <v>35</v>
      </c>
      <c r="C697">
        <f>IF(Table1[[#This Row],[Attrition]]="Yes",1,0)</f>
        <v>1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3">
      <c r="A698">
        <v>45</v>
      </c>
      <c r="B698" t="s">
        <v>43</v>
      </c>
      <c r="C698">
        <f>IF(Table1[[#This Row],[Attrition]]="Yes",1,0)</f>
        <v>0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3">
      <c r="A699">
        <v>29</v>
      </c>
      <c r="B699" t="s">
        <v>43</v>
      </c>
      <c r="C699">
        <f>IF(Table1[[#This Row],[Attrition]]="Yes",1,0)</f>
        <v>0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3">
      <c r="A700">
        <v>35</v>
      </c>
      <c r="B700" t="s">
        <v>43</v>
      </c>
      <c r="C700">
        <f>IF(Table1[[#This Row],[Attrition]]="Yes",1,0)</f>
        <v>0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3">
      <c r="A701">
        <v>52</v>
      </c>
      <c r="B701" t="s">
        <v>43</v>
      </c>
      <c r="C701">
        <f>IF(Table1[[#This Row],[Attrition]]="Yes",1,0)</f>
        <v>0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3">
      <c r="A702">
        <v>58</v>
      </c>
      <c r="B702" t="s">
        <v>35</v>
      </c>
      <c r="C702">
        <f>IF(Table1[[#This Row],[Attrition]]="Yes",1,0)</f>
        <v>1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3">
      <c r="A703">
        <v>53</v>
      </c>
      <c r="B703" t="s">
        <v>43</v>
      </c>
      <c r="C703">
        <f>IF(Table1[[#This Row],[Attrition]]="Yes",1,0)</f>
        <v>0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3">
      <c r="A704">
        <v>30</v>
      </c>
      <c r="B704" t="s">
        <v>43</v>
      </c>
      <c r="C704">
        <f>IF(Table1[[#This Row],[Attrition]]="Yes",1,0)</f>
        <v>0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3">
      <c r="A705">
        <v>38</v>
      </c>
      <c r="B705" t="s">
        <v>43</v>
      </c>
      <c r="C705">
        <f>IF(Table1[[#This Row],[Attrition]]="Yes",1,0)</f>
        <v>0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3">
      <c r="A706">
        <v>35</v>
      </c>
      <c r="B706" t="s">
        <v>43</v>
      </c>
      <c r="C706">
        <f>IF(Table1[[#This Row],[Attrition]]="Yes",1,0)</f>
        <v>0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3">
      <c r="A707">
        <v>39</v>
      </c>
      <c r="B707" t="s">
        <v>43</v>
      </c>
      <c r="C707">
        <f>IF(Table1[[#This Row],[Attrition]]="Yes",1,0)</f>
        <v>0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3">
      <c r="A708">
        <v>40</v>
      </c>
      <c r="B708" t="s">
        <v>35</v>
      </c>
      <c r="C708">
        <f>IF(Table1[[#This Row],[Attrition]]="Yes",1,0)</f>
        <v>1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3">
      <c r="A709">
        <v>47</v>
      </c>
      <c r="B709" t="s">
        <v>43</v>
      </c>
      <c r="C709">
        <f>IF(Table1[[#This Row],[Attrition]]="Yes",1,0)</f>
        <v>0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3">
      <c r="A710">
        <v>36</v>
      </c>
      <c r="B710" t="s">
        <v>43</v>
      </c>
      <c r="C710">
        <f>IF(Table1[[#This Row],[Attrition]]="Yes",1,0)</f>
        <v>0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3">
      <c r="A711">
        <v>31</v>
      </c>
      <c r="B711" t="s">
        <v>35</v>
      </c>
      <c r="C711">
        <f>IF(Table1[[#This Row],[Attrition]]="Yes",1,0)</f>
        <v>1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3">
      <c r="A712">
        <v>33</v>
      </c>
      <c r="B712" t="s">
        <v>43</v>
      </c>
      <c r="C712">
        <f>IF(Table1[[#This Row],[Attrition]]="Yes",1,0)</f>
        <v>0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3">
      <c r="A713">
        <v>29</v>
      </c>
      <c r="B713" t="s">
        <v>35</v>
      </c>
      <c r="C713">
        <f>IF(Table1[[#This Row],[Attrition]]="Yes",1,0)</f>
        <v>1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>
        <v>33</v>
      </c>
      <c r="B714" t="s">
        <v>43</v>
      </c>
      <c r="C714">
        <f>IF(Table1[[#This Row],[Attrition]]="Yes",1,0)</f>
        <v>0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3">
      <c r="A715">
        <v>45</v>
      </c>
      <c r="B715" t="s">
        <v>43</v>
      </c>
      <c r="C715">
        <f>IF(Table1[[#This Row],[Attrition]]="Yes",1,0)</f>
        <v>0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3">
      <c r="A716">
        <v>50</v>
      </c>
      <c r="B716" t="s">
        <v>43</v>
      </c>
      <c r="C716">
        <f>IF(Table1[[#This Row],[Attrition]]="Yes",1,0)</f>
        <v>0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3">
      <c r="A717">
        <v>33</v>
      </c>
      <c r="B717" t="s">
        <v>43</v>
      </c>
      <c r="C717">
        <f>IF(Table1[[#This Row],[Attrition]]="Yes",1,0)</f>
        <v>0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3">
      <c r="A718">
        <v>41</v>
      </c>
      <c r="B718" t="s">
        <v>43</v>
      </c>
      <c r="C718">
        <f>IF(Table1[[#This Row],[Attrition]]="Yes",1,0)</f>
        <v>0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3">
      <c r="A719">
        <v>27</v>
      </c>
      <c r="B719" t="s">
        <v>43</v>
      </c>
      <c r="C719">
        <f>IF(Table1[[#This Row],[Attrition]]="Yes",1,0)</f>
        <v>0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3">
      <c r="A720">
        <v>45</v>
      </c>
      <c r="B720" t="s">
        <v>43</v>
      </c>
      <c r="C720">
        <f>IF(Table1[[#This Row],[Attrition]]="Yes",1,0)</f>
        <v>0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3">
      <c r="A721">
        <v>47</v>
      </c>
      <c r="B721" t="s">
        <v>43</v>
      </c>
      <c r="C721">
        <f>IF(Table1[[#This Row],[Attrition]]="Yes",1,0)</f>
        <v>0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3">
      <c r="A722">
        <v>30</v>
      </c>
      <c r="B722" t="s">
        <v>35</v>
      </c>
      <c r="C722">
        <f>IF(Table1[[#This Row],[Attrition]]="Yes",1,0)</f>
        <v>1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3">
      <c r="A723">
        <v>50</v>
      </c>
      <c r="B723" t="s">
        <v>43</v>
      </c>
      <c r="C723">
        <f>IF(Table1[[#This Row],[Attrition]]="Yes",1,0)</f>
        <v>0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3">
      <c r="A724">
        <v>38</v>
      </c>
      <c r="B724" t="s">
        <v>43</v>
      </c>
      <c r="C724">
        <f>IF(Table1[[#This Row],[Attrition]]="Yes",1,0)</f>
        <v>0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3">
      <c r="A725">
        <v>46</v>
      </c>
      <c r="B725" t="s">
        <v>43</v>
      </c>
      <c r="C725">
        <f>IF(Table1[[#This Row],[Attrition]]="Yes",1,0)</f>
        <v>0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3">
      <c r="A726">
        <v>24</v>
      </c>
      <c r="B726" t="s">
        <v>43</v>
      </c>
      <c r="C726">
        <f>IF(Table1[[#This Row],[Attrition]]="Yes",1,0)</f>
        <v>0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3">
      <c r="A727">
        <v>35</v>
      </c>
      <c r="B727" t="s">
        <v>35</v>
      </c>
      <c r="C727">
        <f>IF(Table1[[#This Row],[Attrition]]="Yes",1,0)</f>
        <v>1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3">
      <c r="A728">
        <v>31</v>
      </c>
      <c r="B728" t="s">
        <v>43</v>
      </c>
      <c r="C728">
        <f>IF(Table1[[#This Row],[Attrition]]="Yes",1,0)</f>
        <v>0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3">
      <c r="A729">
        <v>18</v>
      </c>
      <c r="B729" t="s">
        <v>43</v>
      </c>
      <c r="C729">
        <f>IF(Table1[[#This Row],[Attrition]]="Yes",1,0)</f>
        <v>0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t="s">
        <v>43</v>
      </c>
      <c r="C730">
        <f>IF(Table1[[#This Row],[Attrition]]="Yes",1,0)</f>
        <v>0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3">
      <c r="A731">
        <v>35</v>
      </c>
      <c r="B731" t="s">
        <v>43</v>
      </c>
      <c r="C731">
        <f>IF(Table1[[#This Row],[Attrition]]="Yes",1,0)</f>
        <v>0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3">
      <c r="A732">
        <v>30</v>
      </c>
      <c r="B732" t="s">
        <v>43</v>
      </c>
      <c r="C732">
        <f>IF(Table1[[#This Row],[Attrition]]="Yes",1,0)</f>
        <v>0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3">
      <c r="A733">
        <v>20</v>
      </c>
      <c r="B733" t="s">
        <v>35</v>
      </c>
      <c r="C733">
        <f>IF(Table1[[#This Row],[Attrition]]="Yes",1,0)</f>
        <v>1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3">
      <c r="A734">
        <v>30</v>
      </c>
      <c r="B734" t="s">
        <v>35</v>
      </c>
      <c r="C734">
        <f>IF(Table1[[#This Row],[Attrition]]="Yes",1,0)</f>
        <v>1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3">
      <c r="A735">
        <v>26</v>
      </c>
      <c r="B735" t="s">
        <v>43</v>
      </c>
      <c r="C735">
        <f>IF(Table1[[#This Row],[Attrition]]="Yes",1,0)</f>
        <v>0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3">
      <c r="A736">
        <v>22</v>
      </c>
      <c r="B736" t="s">
        <v>43</v>
      </c>
      <c r="C736">
        <f>IF(Table1[[#This Row],[Attrition]]="Yes",1,0)</f>
        <v>0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3">
      <c r="A737">
        <v>48</v>
      </c>
      <c r="B737" t="s">
        <v>43</v>
      </c>
      <c r="C737">
        <f>IF(Table1[[#This Row],[Attrition]]="Yes",1,0)</f>
        <v>0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3">
      <c r="A738">
        <v>48</v>
      </c>
      <c r="B738" t="s">
        <v>43</v>
      </c>
      <c r="C738">
        <f>IF(Table1[[#This Row],[Attrition]]="Yes",1,0)</f>
        <v>0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3">
      <c r="A739">
        <v>41</v>
      </c>
      <c r="B739" t="s">
        <v>43</v>
      </c>
      <c r="C739">
        <f>IF(Table1[[#This Row],[Attrition]]="Yes",1,0)</f>
        <v>0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3">
      <c r="A740">
        <v>39</v>
      </c>
      <c r="B740" t="s">
        <v>43</v>
      </c>
      <c r="C740">
        <f>IF(Table1[[#This Row],[Attrition]]="Yes",1,0)</f>
        <v>0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3">
      <c r="A741">
        <v>27</v>
      </c>
      <c r="B741" t="s">
        <v>43</v>
      </c>
      <c r="C741">
        <f>IF(Table1[[#This Row],[Attrition]]="Yes",1,0)</f>
        <v>0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3">
      <c r="A742">
        <v>35</v>
      </c>
      <c r="B742" t="s">
        <v>43</v>
      </c>
      <c r="C742">
        <f>IF(Table1[[#This Row],[Attrition]]="Yes",1,0)</f>
        <v>0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3">
      <c r="A743">
        <v>42</v>
      </c>
      <c r="B743" t="s">
        <v>43</v>
      </c>
      <c r="C743">
        <f>IF(Table1[[#This Row],[Attrition]]="Yes",1,0)</f>
        <v>0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t="s">
        <v>43</v>
      </c>
      <c r="C744">
        <f>IF(Table1[[#This Row],[Attrition]]="Yes",1,0)</f>
        <v>0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t="s">
        <v>43</v>
      </c>
      <c r="C745">
        <f>IF(Table1[[#This Row],[Attrition]]="Yes",1,0)</f>
        <v>0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3">
      <c r="A746">
        <v>37</v>
      </c>
      <c r="B746" t="s">
        <v>35</v>
      </c>
      <c r="C746">
        <f>IF(Table1[[#This Row],[Attrition]]="Yes",1,0)</f>
        <v>1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3">
      <c r="A747">
        <v>55</v>
      </c>
      <c r="B747" t="s">
        <v>43</v>
      </c>
      <c r="C747">
        <f>IF(Table1[[#This Row],[Attrition]]="Yes",1,0)</f>
        <v>0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3">
      <c r="A748">
        <v>41</v>
      </c>
      <c r="B748" t="s">
        <v>43</v>
      </c>
      <c r="C748">
        <f>IF(Table1[[#This Row],[Attrition]]="Yes",1,0)</f>
        <v>0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3">
      <c r="A749">
        <v>38</v>
      </c>
      <c r="B749" t="s">
        <v>43</v>
      </c>
      <c r="C749">
        <f>IF(Table1[[#This Row],[Attrition]]="Yes",1,0)</f>
        <v>0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t="s">
        <v>35</v>
      </c>
      <c r="C750">
        <f>IF(Table1[[#This Row],[Attrition]]="Yes",1,0)</f>
        <v>1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3">
      <c r="A751">
        <v>52</v>
      </c>
      <c r="B751" t="s">
        <v>35</v>
      </c>
      <c r="C751">
        <f>IF(Table1[[#This Row],[Attrition]]="Yes",1,0)</f>
        <v>1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3">
      <c r="A752">
        <v>44</v>
      </c>
      <c r="B752" t="s">
        <v>43</v>
      </c>
      <c r="C752">
        <f>IF(Table1[[#This Row],[Attrition]]="Yes",1,0)</f>
        <v>0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3">
      <c r="A753">
        <v>50</v>
      </c>
      <c r="B753" t="s">
        <v>43</v>
      </c>
      <c r="C753">
        <f>IF(Table1[[#This Row],[Attrition]]="Yes",1,0)</f>
        <v>0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3">
      <c r="A754">
        <v>36</v>
      </c>
      <c r="B754" t="s">
        <v>35</v>
      </c>
      <c r="C754">
        <f>IF(Table1[[#This Row],[Attrition]]="Yes",1,0)</f>
        <v>1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3">
      <c r="A755">
        <v>39</v>
      </c>
      <c r="B755" t="s">
        <v>43</v>
      </c>
      <c r="C755">
        <f>IF(Table1[[#This Row],[Attrition]]="Yes",1,0)</f>
        <v>0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3">
      <c r="A756">
        <v>33</v>
      </c>
      <c r="B756" t="s">
        <v>43</v>
      </c>
      <c r="C756">
        <f>IF(Table1[[#This Row],[Attrition]]="Yes",1,0)</f>
        <v>0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3">
      <c r="A757">
        <v>45</v>
      </c>
      <c r="B757" t="s">
        <v>43</v>
      </c>
      <c r="C757">
        <f>IF(Table1[[#This Row],[Attrition]]="Yes",1,0)</f>
        <v>0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3">
      <c r="A758">
        <v>32</v>
      </c>
      <c r="B758" t="s">
        <v>43</v>
      </c>
      <c r="C758">
        <f>IF(Table1[[#This Row],[Attrition]]="Yes",1,0)</f>
        <v>0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3">
      <c r="A759">
        <v>34</v>
      </c>
      <c r="B759" t="s">
        <v>43</v>
      </c>
      <c r="C759">
        <f>IF(Table1[[#This Row],[Attrition]]="Yes",1,0)</f>
        <v>0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3">
      <c r="A760">
        <v>59</v>
      </c>
      <c r="B760" t="s">
        <v>43</v>
      </c>
      <c r="C760">
        <f>IF(Table1[[#This Row],[Attrition]]="Yes",1,0)</f>
        <v>0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3">
      <c r="A761">
        <v>45</v>
      </c>
      <c r="B761" t="s">
        <v>43</v>
      </c>
      <c r="C761">
        <f>IF(Table1[[#This Row],[Attrition]]="Yes",1,0)</f>
        <v>0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3">
      <c r="A762">
        <v>53</v>
      </c>
      <c r="B762" t="s">
        <v>43</v>
      </c>
      <c r="C762">
        <f>IF(Table1[[#This Row],[Attrition]]="Yes",1,0)</f>
        <v>0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3">
      <c r="A763">
        <v>36</v>
      </c>
      <c r="B763" t="s">
        <v>35</v>
      </c>
      <c r="C763">
        <f>IF(Table1[[#This Row],[Attrition]]="Yes",1,0)</f>
        <v>1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3">
      <c r="A764">
        <v>26</v>
      </c>
      <c r="B764" t="s">
        <v>35</v>
      </c>
      <c r="C764">
        <f>IF(Table1[[#This Row],[Attrition]]="Yes",1,0)</f>
        <v>1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3">
      <c r="A765">
        <v>34</v>
      </c>
      <c r="B765" t="s">
        <v>43</v>
      </c>
      <c r="C765">
        <f>IF(Table1[[#This Row],[Attrition]]="Yes",1,0)</f>
        <v>0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3">
      <c r="A766">
        <v>28</v>
      </c>
      <c r="B766" t="s">
        <v>43</v>
      </c>
      <c r="C766">
        <f>IF(Table1[[#This Row],[Attrition]]="Yes",1,0)</f>
        <v>0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t="s">
        <v>43</v>
      </c>
      <c r="C767">
        <f>IF(Table1[[#This Row],[Attrition]]="Yes",1,0)</f>
        <v>0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3">
      <c r="A768">
        <v>50</v>
      </c>
      <c r="B768" t="s">
        <v>43</v>
      </c>
      <c r="C768">
        <f>IF(Table1[[#This Row],[Attrition]]="Yes",1,0)</f>
        <v>0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3">
      <c r="A769">
        <v>37</v>
      </c>
      <c r="B769" t="s">
        <v>43</v>
      </c>
      <c r="C769">
        <f>IF(Table1[[#This Row],[Attrition]]="Yes",1,0)</f>
        <v>0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3">
      <c r="A770">
        <v>40</v>
      </c>
      <c r="B770" t="s">
        <v>43</v>
      </c>
      <c r="C770">
        <f>IF(Table1[[#This Row],[Attrition]]="Yes",1,0)</f>
        <v>0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3">
      <c r="A771">
        <v>26</v>
      </c>
      <c r="B771" t="s">
        <v>43</v>
      </c>
      <c r="C771">
        <f>IF(Table1[[#This Row],[Attrition]]="Yes",1,0)</f>
        <v>0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3">
      <c r="A772">
        <v>46</v>
      </c>
      <c r="B772" t="s">
        <v>43</v>
      </c>
      <c r="C772">
        <f>IF(Table1[[#This Row],[Attrition]]="Yes",1,0)</f>
        <v>0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3">
      <c r="A773">
        <v>54</v>
      </c>
      <c r="B773" t="s">
        <v>43</v>
      </c>
      <c r="C773">
        <f>IF(Table1[[#This Row],[Attrition]]="Yes",1,0)</f>
        <v>0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3">
      <c r="A774">
        <v>56</v>
      </c>
      <c r="B774" t="s">
        <v>43</v>
      </c>
      <c r="C774">
        <f>IF(Table1[[#This Row],[Attrition]]="Yes",1,0)</f>
        <v>0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3">
      <c r="A775">
        <v>36</v>
      </c>
      <c r="B775" t="s">
        <v>43</v>
      </c>
      <c r="C775">
        <f>IF(Table1[[#This Row],[Attrition]]="Yes",1,0)</f>
        <v>0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3">
      <c r="A776">
        <v>55</v>
      </c>
      <c r="B776" t="s">
        <v>43</v>
      </c>
      <c r="C776">
        <f>IF(Table1[[#This Row],[Attrition]]="Yes",1,0)</f>
        <v>0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3">
      <c r="A777">
        <v>43</v>
      </c>
      <c r="B777" t="s">
        <v>43</v>
      </c>
      <c r="C777">
        <f>IF(Table1[[#This Row],[Attrition]]="Yes",1,0)</f>
        <v>0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t="s">
        <v>35</v>
      </c>
      <c r="C778">
        <f>IF(Table1[[#This Row],[Attrition]]="Yes",1,0)</f>
        <v>1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3">
      <c r="A779">
        <v>21</v>
      </c>
      <c r="B779" t="s">
        <v>35</v>
      </c>
      <c r="C779">
        <f>IF(Table1[[#This Row],[Attrition]]="Yes",1,0)</f>
        <v>1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3">
      <c r="A780">
        <v>46</v>
      </c>
      <c r="B780" t="s">
        <v>43</v>
      </c>
      <c r="C780">
        <f>IF(Table1[[#This Row],[Attrition]]="Yes",1,0)</f>
        <v>0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3">
      <c r="A781">
        <v>51</v>
      </c>
      <c r="B781" t="s">
        <v>35</v>
      </c>
      <c r="C781">
        <f>IF(Table1[[#This Row],[Attrition]]="Yes",1,0)</f>
        <v>1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3">
      <c r="A782">
        <v>28</v>
      </c>
      <c r="B782" t="s">
        <v>35</v>
      </c>
      <c r="C782">
        <f>IF(Table1[[#This Row],[Attrition]]="Yes",1,0)</f>
        <v>1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3">
      <c r="A783">
        <v>26</v>
      </c>
      <c r="B783" t="s">
        <v>43</v>
      </c>
      <c r="C783">
        <f>IF(Table1[[#This Row],[Attrition]]="Yes",1,0)</f>
        <v>0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3">
      <c r="A784">
        <v>30</v>
      </c>
      <c r="B784" t="s">
        <v>43</v>
      </c>
      <c r="C784">
        <f>IF(Table1[[#This Row],[Attrition]]="Yes",1,0)</f>
        <v>0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3">
      <c r="A785">
        <v>41</v>
      </c>
      <c r="B785" t="s">
        <v>43</v>
      </c>
      <c r="C785">
        <f>IF(Table1[[#This Row],[Attrition]]="Yes",1,0)</f>
        <v>0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3">
      <c r="A786">
        <v>38</v>
      </c>
      <c r="B786" t="s">
        <v>43</v>
      </c>
      <c r="C786">
        <f>IF(Table1[[#This Row],[Attrition]]="Yes",1,0)</f>
        <v>0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3">
      <c r="A787">
        <v>40</v>
      </c>
      <c r="B787" t="s">
        <v>43</v>
      </c>
      <c r="C787">
        <f>IF(Table1[[#This Row],[Attrition]]="Yes",1,0)</f>
        <v>0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3">
      <c r="A788">
        <v>27</v>
      </c>
      <c r="B788" t="s">
        <v>43</v>
      </c>
      <c r="C788">
        <f>IF(Table1[[#This Row],[Attrition]]="Yes",1,0)</f>
        <v>0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3">
      <c r="A789">
        <v>55</v>
      </c>
      <c r="B789" t="s">
        <v>43</v>
      </c>
      <c r="C789">
        <f>IF(Table1[[#This Row],[Attrition]]="Yes",1,0)</f>
        <v>0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3">
      <c r="A790">
        <v>28</v>
      </c>
      <c r="B790" t="s">
        <v>43</v>
      </c>
      <c r="C790">
        <f>IF(Table1[[#This Row],[Attrition]]="Yes",1,0)</f>
        <v>0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3">
      <c r="A791">
        <v>44</v>
      </c>
      <c r="B791" t="s">
        <v>35</v>
      </c>
      <c r="C791">
        <f>IF(Table1[[#This Row],[Attrition]]="Yes",1,0)</f>
        <v>1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3">
      <c r="A792">
        <v>33</v>
      </c>
      <c r="B792" t="s">
        <v>43</v>
      </c>
      <c r="C792">
        <f>IF(Table1[[#This Row],[Attrition]]="Yes",1,0)</f>
        <v>0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3">
      <c r="A793">
        <v>35</v>
      </c>
      <c r="B793" t="s">
        <v>35</v>
      </c>
      <c r="C793">
        <f>IF(Table1[[#This Row],[Attrition]]="Yes",1,0)</f>
        <v>1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3">
      <c r="A794">
        <v>33</v>
      </c>
      <c r="B794" t="s">
        <v>35</v>
      </c>
      <c r="C794">
        <f>IF(Table1[[#This Row],[Attrition]]="Yes",1,0)</f>
        <v>1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3">
      <c r="A795">
        <v>28</v>
      </c>
      <c r="B795" t="s">
        <v>43</v>
      </c>
      <c r="C795">
        <f>IF(Table1[[#This Row],[Attrition]]="Yes",1,0)</f>
        <v>0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3">
      <c r="A796">
        <v>34</v>
      </c>
      <c r="B796" t="s">
        <v>43</v>
      </c>
      <c r="C796">
        <f>IF(Table1[[#This Row],[Attrition]]="Yes",1,0)</f>
        <v>0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3">
      <c r="A797">
        <v>37</v>
      </c>
      <c r="B797" t="s">
        <v>43</v>
      </c>
      <c r="C797">
        <f>IF(Table1[[#This Row],[Attrition]]="Yes",1,0)</f>
        <v>0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t="s">
        <v>35</v>
      </c>
      <c r="C798">
        <f>IF(Table1[[#This Row],[Attrition]]="Yes",1,0)</f>
        <v>1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3">
      <c r="A799">
        <v>26</v>
      </c>
      <c r="B799" t="s">
        <v>35</v>
      </c>
      <c r="C799">
        <f>IF(Table1[[#This Row],[Attrition]]="Yes",1,0)</f>
        <v>1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3">
      <c r="A800">
        <v>33</v>
      </c>
      <c r="B800" t="s">
        <v>35</v>
      </c>
      <c r="C800">
        <f>IF(Table1[[#This Row],[Attrition]]="Yes",1,0)</f>
        <v>1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3">
      <c r="A801">
        <v>42</v>
      </c>
      <c r="B801" t="s">
        <v>43</v>
      </c>
      <c r="C801">
        <f>IF(Table1[[#This Row],[Attrition]]="Yes",1,0)</f>
        <v>0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3">
      <c r="A802">
        <v>28</v>
      </c>
      <c r="B802" t="s">
        <v>35</v>
      </c>
      <c r="C802">
        <f>IF(Table1[[#This Row],[Attrition]]="Yes",1,0)</f>
        <v>1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3">
      <c r="A803">
        <v>50</v>
      </c>
      <c r="B803" t="s">
        <v>35</v>
      </c>
      <c r="C803">
        <f>IF(Table1[[#This Row],[Attrition]]="Yes",1,0)</f>
        <v>1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>
        <v>33</v>
      </c>
      <c r="B804" t="s">
        <v>43</v>
      </c>
      <c r="C804">
        <f>IF(Table1[[#This Row],[Attrition]]="Yes",1,0)</f>
        <v>0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3">
      <c r="A805">
        <v>34</v>
      </c>
      <c r="B805" t="s">
        <v>43</v>
      </c>
      <c r="C805">
        <f>IF(Table1[[#This Row],[Attrition]]="Yes",1,0)</f>
        <v>0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t="s">
        <v>43</v>
      </c>
      <c r="C806">
        <f>IF(Table1[[#This Row],[Attrition]]="Yes",1,0)</f>
        <v>0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3">
      <c r="A807">
        <v>45</v>
      </c>
      <c r="B807" t="s">
        <v>43</v>
      </c>
      <c r="C807">
        <f>IF(Table1[[#This Row],[Attrition]]="Yes",1,0)</f>
        <v>0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3">
      <c r="A808">
        <v>52</v>
      </c>
      <c r="B808" t="s">
        <v>43</v>
      </c>
      <c r="C808">
        <f>IF(Table1[[#This Row],[Attrition]]="Yes",1,0)</f>
        <v>0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3">
      <c r="A809">
        <v>38</v>
      </c>
      <c r="B809" t="s">
        <v>43</v>
      </c>
      <c r="C809">
        <f>IF(Table1[[#This Row],[Attrition]]="Yes",1,0)</f>
        <v>0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3">
      <c r="A810">
        <v>29</v>
      </c>
      <c r="B810" t="s">
        <v>43</v>
      </c>
      <c r="C810">
        <f>IF(Table1[[#This Row],[Attrition]]="Yes",1,0)</f>
        <v>0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3">
      <c r="A811">
        <v>28</v>
      </c>
      <c r="B811" t="s">
        <v>43</v>
      </c>
      <c r="C811">
        <f>IF(Table1[[#This Row],[Attrition]]="Yes",1,0)</f>
        <v>0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3">
      <c r="A812">
        <v>46</v>
      </c>
      <c r="B812" t="s">
        <v>43</v>
      </c>
      <c r="C812">
        <f>IF(Table1[[#This Row],[Attrition]]="Yes",1,0)</f>
        <v>0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3">
      <c r="A813">
        <v>38</v>
      </c>
      <c r="B813" t="s">
        <v>43</v>
      </c>
      <c r="C813">
        <f>IF(Table1[[#This Row],[Attrition]]="Yes",1,0)</f>
        <v>0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t="s">
        <v>43</v>
      </c>
      <c r="C814">
        <f>IF(Table1[[#This Row],[Attrition]]="Yes",1,0)</f>
        <v>0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3">
      <c r="A815">
        <v>39</v>
      </c>
      <c r="B815" t="s">
        <v>35</v>
      </c>
      <c r="C815">
        <f>IF(Table1[[#This Row],[Attrition]]="Yes",1,0)</f>
        <v>1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3">
      <c r="A816">
        <v>40</v>
      </c>
      <c r="B816" t="s">
        <v>43</v>
      </c>
      <c r="C816">
        <f>IF(Table1[[#This Row],[Attrition]]="Yes",1,0)</f>
        <v>0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3">
      <c r="A817">
        <v>21</v>
      </c>
      <c r="B817" t="s">
        <v>43</v>
      </c>
      <c r="C817">
        <f>IF(Table1[[#This Row],[Attrition]]="Yes",1,0)</f>
        <v>0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3">
      <c r="A818">
        <v>39</v>
      </c>
      <c r="B818" t="s">
        <v>43</v>
      </c>
      <c r="C818">
        <f>IF(Table1[[#This Row],[Attrition]]="Yes",1,0)</f>
        <v>0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3">
      <c r="A819">
        <v>36</v>
      </c>
      <c r="B819" t="s">
        <v>43</v>
      </c>
      <c r="C819">
        <f>IF(Table1[[#This Row],[Attrition]]="Yes",1,0)</f>
        <v>0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3">
      <c r="A820">
        <v>31</v>
      </c>
      <c r="B820" t="s">
        <v>43</v>
      </c>
      <c r="C820">
        <f>IF(Table1[[#This Row],[Attrition]]="Yes",1,0)</f>
        <v>0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3">
      <c r="A821">
        <v>28</v>
      </c>
      <c r="B821" t="s">
        <v>43</v>
      </c>
      <c r="C821">
        <f>IF(Table1[[#This Row],[Attrition]]="Yes",1,0)</f>
        <v>0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3">
      <c r="A822">
        <v>35</v>
      </c>
      <c r="B822" t="s">
        <v>43</v>
      </c>
      <c r="C822">
        <f>IF(Table1[[#This Row],[Attrition]]="Yes",1,0)</f>
        <v>0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3">
      <c r="A823">
        <v>49</v>
      </c>
      <c r="B823" t="s">
        <v>43</v>
      </c>
      <c r="C823">
        <f>IF(Table1[[#This Row],[Attrition]]="Yes",1,0)</f>
        <v>0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3">
      <c r="A824">
        <v>34</v>
      </c>
      <c r="B824" t="s">
        <v>43</v>
      </c>
      <c r="C824">
        <f>IF(Table1[[#This Row],[Attrition]]="Yes",1,0)</f>
        <v>0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3">
      <c r="A825">
        <v>29</v>
      </c>
      <c r="B825" t="s">
        <v>43</v>
      </c>
      <c r="C825">
        <f>IF(Table1[[#This Row],[Attrition]]="Yes",1,0)</f>
        <v>0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3">
      <c r="A826">
        <v>42</v>
      </c>
      <c r="B826" t="s">
        <v>43</v>
      </c>
      <c r="C826">
        <f>IF(Table1[[#This Row],[Attrition]]="Yes",1,0)</f>
        <v>0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t="s">
        <v>43</v>
      </c>
      <c r="C827">
        <f>IF(Table1[[#This Row],[Attrition]]="Yes",1,0)</f>
        <v>0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3">
      <c r="A828">
        <v>38</v>
      </c>
      <c r="B828" t="s">
        <v>43</v>
      </c>
      <c r="C828">
        <f>IF(Table1[[#This Row],[Attrition]]="Yes",1,0)</f>
        <v>0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3">
      <c r="A829">
        <v>28</v>
      </c>
      <c r="B829" t="s">
        <v>43</v>
      </c>
      <c r="C829">
        <f>IF(Table1[[#This Row],[Attrition]]="Yes",1,0)</f>
        <v>0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3">
      <c r="A830">
        <v>18</v>
      </c>
      <c r="B830" t="s">
        <v>35</v>
      </c>
      <c r="C830">
        <f>IF(Table1[[#This Row],[Attrition]]="Yes",1,0)</f>
        <v>1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>
        <v>33</v>
      </c>
      <c r="B831" t="s">
        <v>35</v>
      </c>
      <c r="C831">
        <f>IF(Table1[[#This Row],[Attrition]]="Yes",1,0)</f>
        <v>1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3">
      <c r="A832">
        <v>41</v>
      </c>
      <c r="B832" t="s">
        <v>43</v>
      </c>
      <c r="C832">
        <f>IF(Table1[[#This Row],[Attrition]]="Yes",1,0)</f>
        <v>0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t="s">
        <v>35</v>
      </c>
      <c r="C833">
        <f>IF(Table1[[#This Row],[Attrition]]="Yes",1,0)</f>
        <v>1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3">
      <c r="A834">
        <v>37</v>
      </c>
      <c r="B834" t="s">
        <v>43</v>
      </c>
      <c r="C834">
        <f>IF(Table1[[#This Row],[Attrition]]="Yes",1,0)</f>
        <v>0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3">
      <c r="A835">
        <v>27</v>
      </c>
      <c r="B835" t="s">
        <v>43</v>
      </c>
      <c r="C835">
        <f>IF(Table1[[#This Row],[Attrition]]="Yes",1,0)</f>
        <v>0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3">
      <c r="A836">
        <v>34</v>
      </c>
      <c r="B836" t="s">
        <v>43</v>
      </c>
      <c r="C836">
        <f>IF(Table1[[#This Row],[Attrition]]="Yes",1,0)</f>
        <v>0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3">
      <c r="A837">
        <v>35</v>
      </c>
      <c r="B837" t="s">
        <v>43</v>
      </c>
      <c r="C837">
        <f>IF(Table1[[#This Row],[Attrition]]="Yes",1,0)</f>
        <v>0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3">
      <c r="A838">
        <v>29</v>
      </c>
      <c r="B838" t="s">
        <v>35</v>
      </c>
      <c r="C838">
        <f>IF(Table1[[#This Row],[Attrition]]="Yes",1,0)</f>
        <v>1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3">
      <c r="A839">
        <v>40</v>
      </c>
      <c r="B839" t="s">
        <v>43</v>
      </c>
      <c r="C839">
        <f>IF(Table1[[#This Row],[Attrition]]="Yes",1,0)</f>
        <v>0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3">
      <c r="A840">
        <v>42</v>
      </c>
      <c r="B840" t="s">
        <v>35</v>
      </c>
      <c r="C840">
        <f>IF(Table1[[#This Row],[Attrition]]="Yes",1,0)</f>
        <v>1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3">
      <c r="A841">
        <v>42</v>
      </c>
      <c r="B841" t="s">
        <v>43</v>
      </c>
      <c r="C841">
        <f>IF(Table1[[#This Row],[Attrition]]="Yes",1,0)</f>
        <v>0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3">
      <c r="A842">
        <v>35</v>
      </c>
      <c r="B842" t="s">
        <v>43</v>
      </c>
      <c r="C842">
        <f>IF(Table1[[#This Row],[Attrition]]="Yes",1,0)</f>
        <v>0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3">
      <c r="A843">
        <v>24</v>
      </c>
      <c r="B843" t="s">
        <v>43</v>
      </c>
      <c r="C843">
        <f>IF(Table1[[#This Row],[Attrition]]="Yes",1,0)</f>
        <v>0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3">
      <c r="A844">
        <v>28</v>
      </c>
      <c r="B844" t="s">
        <v>35</v>
      </c>
      <c r="C844">
        <f>IF(Table1[[#This Row],[Attrition]]="Yes",1,0)</f>
        <v>1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3">
      <c r="A845">
        <v>26</v>
      </c>
      <c r="B845" t="s">
        <v>43</v>
      </c>
      <c r="C845">
        <f>IF(Table1[[#This Row],[Attrition]]="Yes",1,0)</f>
        <v>0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3">
      <c r="A846">
        <v>30</v>
      </c>
      <c r="B846" t="s">
        <v>43</v>
      </c>
      <c r="C846">
        <f>IF(Table1[[#This Row],[Attrition]]="Yes",1,0)</f>
        <v>0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3">
      <c r="A847">
        <v>40</v>
      </c>
      <c r="B847" t="s">
        <v>43</v>
      </c>
      <c r="C847">
        <f>IF(Table1[[#This Row],[Attrition]]="Yes",1,0)</f>
        <v>0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3">
      <c r="A848">
        <v>35</v>
      </c>
      <c r="B848" t="s">
        <v>43</v>
      </c>
      <c r="C848">
        <f>IF(Table1[[#This Row],[Attrition]]="Yes",1,0)</f>
        <v>0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3">
      <c r="A849">
        <v>34</v>
      </c>
      <c r="B849" t="s">
        <v>43</v>
      </c>
      <c r="C849">
        <f>IF(Table1[[#This Row],[Attrition]]="Yes",1,0)</f>
        <v>0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3">
      <c r="A850">
        <v>35</v>
      </c>
      <c r="B850" t="s">
        <v>43</v>
      </c>
      <c r="C850">
        <f>IF(Table1[[#This Row],[Attrition]]="Yes",1,0)</f>
        <v>0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3">
      <c r="A851">
        <v>43</v>
      </c>
      <c r="B851" t="s">
        <v>35</v>
      </c>
      <c r="C851">
        <f>IF(Table1[[#This Row],[Attrition]]="Yes",1,0)</f>
        <v>1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3">
      <c r="A852">
        <v>32</v>
      </c>
      <c r="B852" t="s">
        <v>43</v>
      </c>
      <c r="C852">
        <f>IF(Table1[[#This Row],[Attrition]]="Yes",1,0)</f>
        <v>0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t="s">
        <v>43</v>
      </c>
      <c r="C853">
        <f>IF(Table1[[#This Row],[Attrition]]="Yes",1,0)</f>
        <v>0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3">
      <c r="A854">
        <v>29</v>
      </c>
      <c r="B854" t="s">
        <v>43</v>
      </c>
      <c r="C854">
        <f>IF(Table1[[#This Row],[Attrition]]="Yes",1,0)</f>
        <v>0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3">
      <c r="A855">
        <v>19</v>
      </c>
      <c r="B855" t="s">
        <v>43</v>
      </c>
      <c r="C855">
        <f>IF(Table1[[#This Row],[Attrition]]="Yes",1,0)</f>
        <v>0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3">
      <c r="A856">
        <v>45</v>
      </c>
      <c r="B856" t="s">
        <v>43</v>
      </c>
      <c r="C856">
        <f>IF(Table1[[#This Row],[Attrition]]="Yes",1,0)</f>
        <v>0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3">
      <c r="A857">
        <v>37</v>
      </c>
      <c r="B857" t="s">
        <v>43</v>
      </c>
      <c r="C857">
        <f>IF(Table1[[#This Row],[Attrition]]="Yes",1,0)</f>
        <v>0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3">
      <c r="A858">
        <v>20</v>
      </c>
      <c r="B858" t="s">
        <v>43</v>
      </c>
      <c r="C858">
        <f>IF(Table1[[#This Row],[Attrition]]="Yes",1,0)</f>
        <v>0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3">
      <c r="A859">
        <v>44</v>
      </c>
      <c r="B859" t="s">
        <v>35</v>
      </c>
      <c r="C859">
        <f>IF(Table1[[#This Row],[Attrition]]="Yes",1,0)</f>
        <v>1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3">
      <c r="A860">
        <v>53</v>
      </c>
      <c r="B860" t="s">
        <v>43</v>
      </c>
      <c r="C860">
        <f>IF(Table1[[#This Row],[Attrition]]="Yes",1,0)</f>
        <v>0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3">
      <c r="A861">
        <v>29</v>
      </c>
      <c r="B861" t="s">
        <v>43</v>
      </c>
      <c r="C861">
        <f>IF(Table1[[#This Row],[Attrition]]="Yes",1,0)</f>
        <v>0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3">
      <c r="A862">
        <v>22</v>
      </c>
      <c r="B862" t="s">
        <v>35</v>
      </c>
      <c r="C862">
        <f>IF(Table1[[#This Row],[Attrition]]="Yes",1,0)</f>
        <v>1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>
        <v>46</v>
      </c>
      <c r="B863" t="s">
        <v>43</v>
      </c>
      <c r="C863">
        <f>IF(Table1[[#This Row],[Attrition]]="Yes",1,0)</f>
        <v>0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3">
      <c r="A864">
        <v>44</v>
      </c>
      <c r="B864" t="s">
        <v>43</v>
      </c>
      <c r="C864">
        <f>IF(Table1[[#This Row],[Attrition]]="Yes",1,0)</f>
        <v>0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t="s">
        <v>43</v>
      </c>
      <c r="C865">
        <f>IF(Table1[[#This Row],[Attrition]]="Yes",1,0)</f>
        <v>0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3">
      <c r="A866">
        <v>41</v>
      </c>
      <c r="B866" t="s">
        <v>35</v>
      </c>
      <c r="C866">
        <f>IF(Table1[[#This Row],[Attrition]]="Yes",1,0)</f>
        <v>1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3">
      <c r="A867">
        <v>30</v>
      </c>
      <c r="B867" t="s">
        <v>43</v>
      </c>
      <c r="C867">
        <f>IF(Table1[[#This Row],[Attrition]]="Yes",1,0)</f>
        <v>0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3">
      <c r="A868">
        <v>40</v>
      </c>
      <c r="B868" t="s">
        <v>43</v>
      </c>
      <c r="C868">
        <f>IF(Table1[[#This Row],[Attrition]]="Yes",1,0)</f>
        <v>0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t="s">
        <v>43</v>
      </c>
      <c r="C869">
        <f>IF(Table1[[#This Row],[Attrition]]="Yes",1,0)</f>
        <v>0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3">
      <c r="A870">
        <v>28</v>
      </c>
      <c r="B870" t="s">
        <v>43</v>
      </c>
      <c r="C870">
        <f>IF(Table1[[#This Row],[Attrition]]="Yes",1,0)</f>
        <v>0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3">
      <c r="A871">
        <v>46</v>
      </c>
      <c r="B871" t="s">
        <v>43</v>
      </c>
      <c r="C871">
        <f>IF(Table1[[#This Row],[Attrition]]="Yes",1,0)</f>
        <v>0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3">
      <c r="A872">
        <v>35</v>
      </c>
      <c r="B872" t="s">
        <v>43</v>
      </c>
      <c r="C872">
        <f>IF(Table1[[#This Row],[Attrition]]="Yes",1,0)</f>
        <v>0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3">
      <c r="A873">
        <v>24</v>
      </c>
      <c r="B873" t="s">
        <v>35</v>
      </c>
      <c r="C873">
        <f>IF(Table1[[#This Row],[Attrition]]="Yes",1,0)</f>
        <v>1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3">
      <c r="A874">
        <v>33</v>
      </c>
      <c r="B874" t="s">
        <v>43</v>
      </c>
      <c r="C874">
        <f>IF(Table1[[#This Row],[Attrition]]="Yes",1,0)</f>
        <v>0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3">
      <c r="A875">
        <v>36</v>
      </c>
      <c r="B875" t="s">
        <v>43</v>
      </c>
      <c r="C875">
        <f>IF(Table1[[#This Row],[Attrition]]="Yes",1,0)</f>
        <v>0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3">
      <c r="A876">
        <v>30</v>
      </c>
      <c r="B876" t="s">
        <v>43</v>
      </c>
      <c r="C876">
        <f>IF(Table1[[#This Row],[Attrition]]="Yes",1,0)</f>
        <v>0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3">
      <c r="A877">
        <v>44</v>
      </c>
      <c r="B877" t="s">
        <v>43</v>
      </c>
      <c r="C877">
        <f>IF(Table1[[#This Row],[Attrition]]="Yes",1,0)</f>
        <v>0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3">
      <c r="A878">
        <v>20</v>
      </c>
      <c r="B878" t="s">
        <v>43</v>
      </c>
      <c r="C878">
        <f>IF(Table1[[#This Row],[Attrition]]="Yes",1,0)</f>
        <v>0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3">
      <c r="A879">
        <v>46</v>
      </c>
      <c r="B879" t="s">
        <v>43</v>
      </c>
      <c r="C879">
        <f>IF(Table1[[#This Row],[Attrition]]="Yes",1,0)</f>
        <v>0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3">
      <c r="A880">
        <v>42</v>
      </c>
      <c r="B880" t="s">
        <v>43</v>
      </c>
      <c r="C880">
        <f>IF(Table1[[#This Row],[Attrition]]="Yes",1,0)</f>
        <v>0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3">
      <c r="A881">
        <v>60</v>
      </c>
      <c r="B881" t="s">
        <v>43</v>
      </c>
      <c r="C881">
        <f>IF(Table1[[#This Row],[Attrition]]="Yes",1,0)</f>
        <v>0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3">
      <c r="A882">
        <v>32</v>
      </c>
      <c r="B882" t="s">
        <v>43</v>
      </c>
      <c r="C882">
        <f>IF(Table1[[#This Row],[Attrition]]="Yes",1,0)</f>
        <v>0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3">
      <c r="A883">
        <v>32</v>
      </c>
      <c r="B883" t="s">
        <v>43</v>
      </c>
      <c r="C883">
        <f>IF(Table1[[#This Row],[Attrition]]="Yes",1,0)</f>
        <v>0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3">
      <c r="A884">
        <v>36</v>
      </c>
      <c r="B884" t="s">
        <v>43</v>
      </c>
      <c r="C884">
        <f>IF(Table1[[#This Row],[Attrition]]="Yes",1,0)</f>
        <v>0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3">
      <c r="A885">
        <v>33</v>
      </c>
      <c r="B885" t="s">
        <v>43</v>
      </c>
      <c r="C885">
        <f>IF(Table1[[#This Row],[Attrition]]="Yes",1,0)</f>
        <v>0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3">
      <c r="A886">
        <v>40</v>
      </c>
      <c r="B886" t="s">
        <v>43</v>
      </c>
      <c r="C886">
        <f>IF(Table1[[#This Row],[Attrition]]="Yes",1,0)</f>
        <v>0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3">
      <c r="A887">
        <v>25</v>
      </c>
      <c r="B887" t="s">
        <v>43</v>
      </c>
      <c r="C887">
        <f>IF(Table1[[#This Row],[Attrition]]="Yes",1,0)</f>
        <v>0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3">
      <c r="A888">
        <v>30</v>
      </c>
      <c r="B888" t="s">
        <v>43</v>
      </c>
      <c r="C888">
        <f>IF(Table1[[#This Row],[Attrition]]="Yes",1,0)</f>
        <v>0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3">
      <c r="A889">
        <v>42</v>
      </c>
      <c r="B889" t="s">
        <v>43</v>
      </c>
      <c r="C889">
        <f>IF(Table1[[#This Row],[Attrition]]="Yes",1,0)</f>
        <v>0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t="s">
        <v>43</v>
      </c>
      <c r="C890">
        <f>IF(Table1[[#This Row],[Attrition]]="Yes",1,0)</f>
        <v>0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3">
      <c r="A891">
        <v>27</v>
      </c>
      <c r="B891" t="s">
        <v>43</v>
      </c>
      <c r="C891">
        <f>IF(Table1[[#This Row],[Attrition]]="Yes",1,0)</f>
        <v>0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3">
      <c r="A892">
        <v>54</v>
      </c>
      <c r="B892" t="s">
        <v>43</v>
      </c>
      <c r="C892">
        <f>IF(Table1[[#This Row],[Attrition]]="Yes",1,0)</f>
        <v>0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3">
      <c r="A893">
        <v>44</v>
      </c>
      <c r="B893" t="s">
        <v>43</v>
      </c>
      <c r="C893">
        <f>IF(Table1[[#This Row],[Attrition]]="Yes",1,0)</f>
        <v>0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3">
      <c r="A894">
        <v>19</v>
      </c>
      <c r="B894" t="s">
        <v>35</v>
      </c>
      <c r="C894">
        <f>IF(Table1[[#This Row],[Attrition]]="Yes",1,0)</f>
        <v>1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3">
      <c r="A895">
        <v>29</v>
      </c>
      <c r="B895" t="s">
        <v>43</v>
      </c>
      <c r="C895">
        <f>IF(Table1[[#This Row],[Attrition]]="Yes",1,0)</f>
        <v>0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3">
      <c r="A896">
        <v>54</v>
      </c>
      <c r="B896" t="s">
        <v>43</v>
      </c>
      <c r="C896">
        <f>IF(Table1[[#This Row],[Attrition]]="Yes",1,0)</f>
        <v>0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3">
      <c r="A897">
        <v>31</v>
      </c>
      <c r="B897" t="s">
        <v>43</v>
      </c>
      <c r="C897">
        <f>IF(Table1[[#This Row],[Attrition]]="Yes",1,0)</f>
        <v>0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3">
      <c r="A898">
        <v>31</v>
      </c>
      <c r="B898" t="s">
        <v>43</v>
      </c>
      <c r="C898">
        <f>IF(Table1[[#This Row],[Attrition]]="Yes",1,0)</f>
        <v>0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3">
      <c r="A899">
        <v>59</v>
      </c>
      <c r="B899" t="s">
        <v>43</v>
      </c>
      <c r="C899">
        <f>IF(Table1[[#This Row],[Attrition]]="Yes",1,0)</f>
        <v>0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3">
      <c r="A900">
        <v>43</v>
      </c>
      <c r="B900" t="s">
        <v>43</v>
      </c>
      <c r="C900">
        <f>IF(Table1[[#This Row],[Attrition]]="Yes",1,0)</f>
        <v>0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3">
      <c r="A901">
        <v>49</v>
      </c>
      <c r="B901" t="s">
        <v>43</v>
      </c>
      <c r="C901">
        <f>IF(Table1[[#This Row],[Attrition]]="Yes",1,0)</f>
        <v>0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t="s">
        <v>43</v>
      </c>
      <c r="C902">
        <f>IF(Table1[[#This Row],[Attrition]]="Yes",1,0)</f>
        <v>0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3">
      <c r="A903">
        <v>48</v>
      </c>
      <c r="B903" t="s">
        <v>43</v>
      </c>
      <c r="C903">
        <f>IF(Table1[[#This Row],[Attrition]]="Yes",1,0)</f>
        <v>0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t="s">
        <v>43</v>
      </c>
      <c r="C904">
        <f>IF(Table1[[#This Row],[Attrition]]="Yes",1,0)</f>
        <v>0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3">
      <c r="A905">
        <v>29</v>
      </c>
      <c r="B905" t="s">
        <v>43</v>
      </c>
      <c r="C905">
        <f>IF(Table1[[#This Row],[Attrition]]="Yes",1,0)</f>
        <v>0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3">
      <c r="A906">
        <v>48</v>
      </c>
      <c r="B906" t="s">
        <v>43</v>
      </c>
      <c r="C906">
        <f>IF(Table1[[#This Row],[Attrition]]="Yes",1,0)</f>
        <v>0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t="s">
        <v>43</v>
      </c>
      <c r="C907">
        <f>IF(Table1[[#This Row],[Attrition]]="Yes",1,0)</f>
        <v>0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3">
      <c r="A908">
        <v>34</v>
      </c>
      <c r="B908" t="s">
        <v>43</v>
      </c>
      <c r="C908">
        <f>IF(Table1[[#This Row],[Attrition]]="Yes",1,0)</f>
        <v>0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t="s">
        <v>43</v>
      </c>
      <c r="C909">
        <f>IF(Table1[[#This Row],[Attrition]]="Yes",1,0)</f>
        <v>0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3">
      <c r="A910">
        <v>33</v>
      </c>
      <c r="B910" t="s">
        <v>43</v>
      </c>
      <c r="C910">
        <f>IF(Table1[[#This Row],[Attrition]]="Yes",1,0)</f>
        <v>0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3">
      <c r="A911">
        <v>19</v>
      </c>
      <c r="B911" t="s">
        <v>43</v>
      </c>
      <c r="C911">
        <f>IF(Table1[[#This Row],[Attrition]]="Yes",1,0)</f>
        <v>0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3">
      <c r="A912">
        <v>23</v>
      </c>
      <c r="B912" t="s">
        <v>43</v>
      </c>
      <c r="C912">
        <f>IF(Table1[[#This Row],[Attrition]]="Yes",1,0)</f>
        <v>0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3">
      <c r="A913">
        <v>25</v>
      </c>
      <c r="B913" t="s">
        <v>35</v>
      </c>
      <c r="C913">
        <f>IF(Table1[[#This Row],[Attrition]]="Yes",1,0)</f>
        <v>1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3">
      <c r="A914">
        <v>26</v>
      </c>
      <c r="B914" t="s">
        <v>43</v>
      </c>
      <c r="C914">
        <f>IF(Table1[[#This Row],[Attrition]]="Yes",1,0)</f>
        <v>0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3">
      <c r="A915">
        <v>45</v>
      </c>
      <c r="B915" t="s">
        <v>35</v>
      </c>
      <c r="C915">
        <f>IF(Table1[[#This Row],[Attrition]]="Yes",1,0)</f>
        <v>1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3">
      <c r="A916">
        <v>55</v>
      </c>
      <c r="B916" t="s">
        <v>43</v>
      </c>
      <c r="C916">
        <f>IF(Table1[[#This Row],[Attrition]]="Yes",1,0)</f>
        <v>0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3">
      <c r="A917">
        <v>21</v>
      </c>
      <c r="B917" t="s">
        <v>35</v>
      </c>
      <c r="C917">
        <f>IF(Table1[[#This Row],[Attrition]]="Yes",1,0)</f>
        <v>1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3">
      <c r="A918">
        <v>46</v>
      </c>
      <c r="B918" t="s">
        <v>43</v>
      </c>
      <c r="C918">
        <f>IF(Table1[[#This Row],[Attrition]]="Yes",1,0)</f>
        <v>0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3">
      <c r="A919">
        <v>34</v>
      </c>
      <c r="B919" t="s">
        <v>43</v>
      </c>
      <c r="C919">
        <f>IF(Table1[[#This Row],[Attrition]]="Yes",1,0)</f>
        <v>0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3">
      <c r="A920">
        <v>51</v>
      </c>
      <c r="B920" t="s">
        <v>43</v>
      </c>
      <c r="C920">
        <f>IF(Table1[[#This Row],[Attrition]]="Yes",1,0)</f>
        <v>0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3">
      <c r="A921">
        <v>59</v>
      </c>
      <c r="B921" t="s">
        <v>43</v>
      </c>
      <c r="C921">
        <f>IF(Table1[[#This Row],[Attrition]]="Yes",1,0)</f>
        <v>0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3">
      <c r="A922">
        <v>34</v>
      </c>
      <c r="B922" t="s">
        <v>43</v>
      </c>
      <c r="C922">
        <f>IF(Table1[[#This Row],[Attrition]]="Yes",1,0)</f>
        <v>0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3">
      <c r="A923">
        <v>28</v>
      </c>
      <c r="B923" t="s">
        <v>43</v>
      </c>
      <c r="C923">
        <f>IF(Table1[[#This Row],[Attrition]]="Yes",1,0)</f>
        <v>0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3">
      <c r="A924">
        <v>44</v>
      </c>
      <c r="B924" t="s">
        <v>43</v>
      </c>
      <c r="C924">
        <f>IF(Table1[[#This Row],[Attrition]]="Yes",1,0)</f>
        <v>0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3">
      <c r="A925">
        <v>34</v>
      </c>
      <c r="B925" t="s">
        <v>43</v>
      </c>
      <c r="C925">
        <f>IF(Table1[[#This Row],[Attrition]]="Yes",1,0)</f>
        <v>0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3">
      <c r="A926">
        <v>35</v>
      </c>
      <c r="B926" t="s">
        <v>43</v>
      </c>
      <c r="C926">
        <f>IF(Table1[[#This Row],[Attrition]]="Yes",1,0)</f>
        <v>0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3">
      <c r="A927">
        <v>42</v>
      </c>
      <c r="B927" t="s">
        <v>43</v>
      </c>
      <c r="C927">
        <f>IF(Table1[[#This Row],[Attrition]]="Yes",1,0)</f>
        <v>0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t="s">
        <v>43</v>
      </c>
      <c r="C928">
        <f>IF(Table1[[#This Row],[Attrition]]="Yes",1,0)</f>
        <v>0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3">
      <c r="A929">
        <v>36</v>
      </c>
      <c r="B929" t="s">
        <v>43</v>
      </c>
      <c r="C929">
        <f>IF(Table1[[#This Row],[Attrition]]="Yes",1,0)</f>
        <v>0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3">
      <c r="A930">
        <v>44</v>
      </c>
      <c r="B930" t="s">
        <v>35</v>
      </c>
      <c r="C930">
        <f>IF(Table1[[#This Row],[Attrition]]="Yes",1,0)</f>
        <v>1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3">
      <c r="A931">
        <v>28</v>
      </c>
      <c r="B931" t="s">
        <v>43</v>
      </c>
      <c r="C931">
        <f>IF(Table1[[#This Row],[Attrition]]="Yes",1,0)</f>
        <v>0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3">
      <c r="A932">
        <v>51</v>
      </c>
      <c r="B932" t="s">
        <v>43</v>
      </c>
      <c r="C932">
        <f>IF(Table1[[#This Row],[Attrition]]="Yes",1,0)</f>
        <v>0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3">
      <c r="A933">
        <v>30</v>
      </c>
      <c r="B933" t="s">
        <v>43</v>
      </c>
      <c r="C933">
        <f>IF(Table1[[#This Row],[Attrition]]="Yes",1,0)</f>
        <v>0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3">
      <c r="A934">
        <v>29</v>
      </c>
      <c r="B934" t="s">
        <v>35</v>
      </c>
      <c r="C934">
        <f>IF(Table1[[#This Row],[Attrition]]="Yes",1,0)</f>
        <v>1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3">
      <c r="A935">
        <v>28</v>
      </c>
      <c r="B935" t="s">
        <v>43</v>
      </c>
      <c r="C935">
        <f>IF(Table1[[#This Row],[Attrition]]="Yes",1,0)</f>
        <v>0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3">
      <c r="A936">
        <v>25</v>
      </c>
      <c r="B936" t="s">
        <v>43</v>
      </c>
      <c r="C936">
        <f>IF(Table1[[#This Row],[Attrition]]="Yes",1,0)</f>
        <v>0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3">
      <c r="A937">
        <v>32</v>
      </c>
      <c r="B937" t="s">
        <v>43</v>
      </c>
      <c r="C937">
        <f>IF(Table1[[#This Row],[Attrition]]="Yes",1,0)</f>
        <v>0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3">
      <c r="A938">
        <v>45</v>
      </c>
      <c r="B938" t="s">
        <v>43</v>
      </c>
      <c r="C938">
        <f>IF(Table1[[#This Row],[Attrition]]="Yes",1,0)</f>
        <v>0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t="s">
        <v>43</v>
      </c>
      <c r="C939">
        <f>IF(Table1[[#This Row],[Attrition]]="Yes",1,0)</f>
        <v>0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3">
      <c r="A940">
        <v>58</v>
      </c>
      <c r="B940" t="s">
        <v>43</v>
      </c>
      <c r="C940">
        <f>IF(Table1[[#This Row],[Attrition]]="Yes",1,0)</f>
        <v>0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3">
      <c r="A941">
        <v>32</v>
      </c>
      <c r="B941" t="s">
        <v>35</v>
      </c>
      <c r="C941">
        <f>IF(Table1[[#This Row],[Attrition]]="Yes",1,0)</f>
        <v>1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3">
      <c r="A942">
        <v>39</v>
      </c>
      <c r="B942" t="s">
        <v>35</v>
      </c>
      <c r="C942">
        <f>IF(Table1[[#This Row],[Attrition]]="Yes",1,0)</f>
        <v>1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3">
      <c r="A943">
        <v>30</v>
      </c>
      <c r="B943" t="s">
        <v>43</v>
      </c>
      <c r="C943">
        <f>IF(Table1[[#This Row],[Attrition]]="Yes",1,0)</f>
        <v>0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3">
      <c r="A944">
        <v>36</v>
      </c>
      <c r="B944" t="s">
        <v>43</v>
      </c>
      <c r="C944">
        <f>IF(Table1[[#This Row],[Attrition]]="Yes",1,0)</f>
        <v>0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3">
      <c r="A945">
        <v>46</v>
      </c>
      <c r="B945" t="s">
        <v>43</v>
      </c>
      <c r="C945">
        <f>IF(Table1[[#This Row],[Attrition]]="Yes",1,0)</f>
        <v>0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3">
      <c r="A946">
        <v>28</v>
      </c>
      <c r="B946" t="s">
        <v>43</v>
      </c>
      <c r="C946">
        <f>IF(Table1[[#This Row],[Attrition]]="Yes",1,0)</f>
        <v>0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3">
      <c r="A947">
        <v>50</v>
      </c>
      <c r="B947" t="s">
        <v>43</v>
      </c>
      <c r="C947">
        <f>IF(Table1[[#This Row],[Attrition]]="Yes",1,0)</f>
        <v>0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3">
      <c r="A948">
        <v>40</v>
      </c>
      <c r="B948" t="s">
        <v>35</v>
      </c>
      <c r="C948">
        <f>IF(Table1[[#This Row],[Attrition]]="Yes",1,0)</f>
        <v>1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3">
      <c r="A949">
        <v>52</v>
      </c>
      <c r="B949" t="s">
        <v>35</v>
      </c>
      <c r="C949">
        <f>IF(Table1[[#This Row],[Attrition]]="Yes",1,0)</f>
        <v>1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3">
      <c r="A950">
        <v>30</v>
      </c>
      <c r="B950" t="s">
        <v>43</v>
      </c>
      <c r="C950">
        <f>IF(Table1[[#This Row],[Attrition]]="Yes",1,0)</f>
        <v>0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3">
      <c r="A951">
        <v>39</v>
      </c>
      <c r="B951" t="s">
        <v>43</v>
      </c>
      <c r="C951">
        <f>IF(Table1[[#This Row],[Attrition]]="Yes",1,0)</f>
        <v>0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3">
      <c r="A952">
        <v>31</v>
      </c>
      <c r="B952" t="s">
        <v>43</v>
      </c>
      <c r="C952">
        <f>IF(Table1[[#This Row],[Attrition]]="Yes",1,0)</f>
        <v>0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3">
      <c r="A953">
        <v>41</v>
      </c>
      <c r="B953" t="s">
        <v>43</v>
      </c>
      <c r="C953">
        <f>IF(Table1[[#This Row],[Attrition]]="Yes",1,0)</f>
        <v>0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3">
      <c r="A954">
        <v>31</v>
      </c>
      <c r="B954" t="s">
        <v>35</v>
      </c>
      <c r="C954">
        <f>IF(Table1[[#This Row],[Attrition]]="Yes",1,0)</f>
        <v>1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3">
      <c r="A955">
        <v>44</v>
      </c>
      <c r="B955" t="s">
        <v>35</v>
      </c>
      <c r="C955">
        <f>IF(Table1[[#This Row],[Attrition]]="Yes",1,0)</f>
        <v>1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3">
      <c r="A956">
        <v>42</v>
      </c>
      <c r="B956" t="s">
        <v>43</v>
      </c>
      <c r="C956">
        <f>IF(Table1[[#This Row],[Attrition]]="Yes",1,0)</f>
        <v>0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3">
      <c r="A957">
        <v>55</v>
      </c>
      <c r="B957" t="s">
        <v>43</v>
      </c>
      <c r="C957">
        <f>IF(Table1[[#This Row],[Attrition]]="Yes",1,0)</f>
        <v>0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3">
      <c r="A958">
        <v>56</v>
      </c>
      <c r="B958" t="s">
        <v>43</v>
      </c>
      <c r="C958">
        <f>IF(Table1[[#This Row],[Attrition]]="Yes",1,0)</f>
        <v>0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3">
      <c r="A959">
        <v>40</v>
      </c>
      <c r="B959" t="s">
        <v>43</v>
      </c>
      <c r="C959">
        <f>IF(Table1[[#This Row],[Attrition]]="Yes",1,0)</f>
        <v>0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3">
      <c r="A960">
        <v>34</v>
      </c>
      <c r="B960" t="s">
        <v>43</v>
      </c>
      <c r="C960">
        <f>IF(Table1[[#This Row],[Attrition]]="Yes",1,0)</f>
        <v>0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3">
      <c r="A961">
        <v>40</v>
      </c>
      <c r="B961" t="s">
        <v>43</v>
      </c>
      <c r="C961">
        <f>IF(Table1[[#This Row],[Attrition]]="Yes",1,0)</f>
        <v>0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3">
      <c r="A962">
        <v>41</v>
      </c>
      <c r="B962" t="s">
        <v>43</v>
      </c>
      <c r="C962">
        <f>IF(Table1[[#This Row],[Attrition]]="Yes",1,0)</f>
        <v>0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3">
      <c r="A963">
        <v>35</v>
      </c>
      <c r="B963" t="s">
        <v>43</v>
      </c>
      <c r="C963">
        <f>IF(Table1[[#This Row],[Attrition]]="Yes",1,0)</f>
        <v>0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3">
      <c r="A964">
        <v>51</v>
      </c>
      <c r="B964" t="s">
        <v>43</v>
      </c>
      <c r="C964">
        <f>IF(Table1[[#This Row],[Attrition]]="Yes",1,0)</f>
        <v>0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3">
      <c r="A965">
        <v>38</v>
      </c>
      <c r="B965" t="s">
        <v>43</v>
      </c>
      <c r="C965">
        <f>IF(Table1[[#This Row],[Attrition]]="Yes",1,0)</f>
        <v>0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3">
      <c r="A966">
        <v>34</v>
      </c>
      <c r="B966" t="s">
        <v>43</v>
      </c>
      <c r="C966">
        <f>IF(Table1[[#This Row],[Attrition]]="Yes",1,0)</f>
        <v>0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3">
      <c r="A967">
        <v>25</v>
      </c>
      <c r="B967" t="s">
        <v>43</v>
      </c>
      <c r="C967">
        <f>IF(Table1[[#This Row],[Attrition]]="Yes",1,0)</f>
        <v>0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3">
      <c r="A968">
        <v>58</v>
      </c>
      <c r="B968" t="s">
        <v>35</v>
      </c>
      <c r="C968">
        <f>IF(Table1[[#This Row],[Attrition]]="Yes",1,0)</f>
        <v>1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3">
      <c r="A969">
        <v>40</v>
      </c>
      <c r="B969" t="s">
        <v>43</v>
      </c>
      <c r="C969">
        <f>IF(Table1[[#This Row],[Attrition]]="Yes",1,0)</f>
        <v>0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3">
      <c r="A970">
        <v>36</v>
      </c>
      <c r="B970" t="s">
        <v>43</v>
      </c>
      <c r="C970">
        <f>IF(Table1[[#This Row],[Attrition]]="Yes",1,0)</f>
        <v>0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3">
      <c r="A971">
        <v>48</v>
      </c>
      <c r="B971" t="s">
        <v>43</v>
      </c>
      <c r="C971">
        <f>IF(Table1[[#This Row],[Attrition]]="Yes",1,0)</f>
        <v>0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3">
      <c r="A972">
        <v>27</v>
      </c>
      <c r="B972" t="s">
        <v>43</v>
      </c>
      <c r="C972">
        <f>IF(Table1[[#This Row],[Attrition]]="Yes",1,0)</f>
        <v>0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t="s">
        <v>43</v>
      </c>
      <c r="C973">
        <f>IF(Table1[[#This Row],[Attrition]]="Yes",1,0)</f>
        <v>0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3">
      <c r="A974">
        <v>18</v>
      </c>
      <c r="B974" t="s">
        <v>43</v>
      </c>
      <c r="C974">
        <f>IF(Table1[[#This Row],[Attrition]]="Yes",1,0)</f>
        <v>0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t="s">
        <v>43</v>
      </c>
      <c r="C975">
        <f>IF(Table1[[#This Row],[Attrition]]="Yes",1,0)</f>
        <v>0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3">
      <c r="A976">
        <v>27</v>
      </c>
      <c r="B976" t="s">
        <v>43</v>
      </c>
      <c r="C976">
        <f>IF(Table1[[#This Row],[Attrition]]="Yes",1,0)</f>
        <v>0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3">
      <c r="A977">
        <v>55</v>
      </c>
      <c r="B977" t="s">
        <v>35</v>
      </c>
      <c r="C977">
        <f>IF(Table1[[#This Row],[Attrition]]="Yes",1,0)</f>
        <v>1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3">
      <c r="A978">
        <v>56</v>
      </c>
      <c r="B978" t="s">
        <v>43</v>
      </c>
      <c r="C978">
        <f>IF(Table1[[#This Row],[Attrition]]="Yes",1,0)</f>
        <v>0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3">
      <c r="A979">
        <v>34</v>
      </c>
      <c r="B979" t="s">
        <v>43</v>
      </c>
      <c r="C979">
        <f>IF(Table1[[#This Row],[Attrition]]="Yes",1,0)</f>
        <v>0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3">
      <c r="A980">
        <v>40</v>
      </c>
      <c r="B980" t="s">
        <v>43</v>
      </c>
      <c r="C980">
        <f>IF(Table1[[#This Row],[Attrition]]="Yes",1,0)</f>
        <v>0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3">
      <c r="A981">
        <v>34</v>
      </c>
      <c r="B981" t="s">
        <v>43</v>
      </c>
      <c r="C981">
        <f>IF(Table1[[#This Row],[Attrition]]="Yes",1,0)</f>
        <v>0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3">
      <c r="A982">
        <v>31</v>
      </c>
      <c r="B982" t="s">
        <v>35</v>
      </c>
      <c r="C982">
        <f>IF(Table1[[#This Row],[Attrition]]="Yes",1,0)</f>
        <v>1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3">
      <c r="A983">
        <v>35</v>
      </c>
      <c r="B983" t="s">
        <v>35</v>
      </c>
      <c r="C983">
        <f>IF(Table1[[#This Row],[Attrition]]="Yes",1,0)</f>
        <v>1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3">
      <c r="A984">
        <v>38</v>
      </c>
      <c r="B984" t="s">
        <v>43</v>
      </c>
      <c r="C984">
        <f>IF(Table1[[#This Row],[Attrition]]="Yes",1,0)</f>
        <v>0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3">
      <c r="A985">
        <v>34</v>
      </c>
      <c r="B985" t="s">
        <v>43</v>
      </c>
      <c r="C985">
        <f>IF(Table1[[#This Row],[Attrition]]="Yes",1,0)</f>
        <v>0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3">
      <c r="A986">
        <v>28</v>
      </c>
      <c r="B986" t="s">
        <v>43</v>
      </c>
      <c r="C986">
        <f>IF(Table1[[#This Row],[Attrition]]="Yes",1,0)</f>
        <v>0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3">
      <c r="A987">
        <v>31</v>
      </c>
      <c r="B987" t="s">
        <v>35</v>
      </c>
      <c r="C987">
        <f>IF(Table1[[#This Row],[Attrition]]="Yes",1,0)</f>
        <v>1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3">
      <c r="A988">
        <v>39</v>
      </c>
      <c r="B988" t="s">
        <v>43</v>
      </c>
      <c r="C988">
        <f>IF(Table1[[#This Row],[Attrition]]="Yes",1,0)</f>
        <v>0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3">
      <c r="A989">
        <v>51</v>
      </c>
      <c r="B989" t="s">
        <v>43</v>
      </c>
      <c r="C989">
        <f>IF(Table1[[#This Row],[Attrition]]="Yes",1,0)</f>
        <v>0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3">
      <c r="A990">
        <v>41</v>
      </c>
      <c r="B990" t="s">
        <v>43</v>
      </c>
      <c r="C990">
        <f>IF(Table1[[#This Row],[Attrition]]="Yes",1,0)</f>
        <v>0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3">
      <c r="A991">
        <v>37</v>
      </c>
      <c r="B991" t="s">
        <v>43</v>
      </c>
      <c r="C991">
        <f>IF(Table1[[#This Row],[Attrition]]="Yes",1,0)</f>
        <v>0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3">
      <c r="A992">
        <v>33</v>
      </c>
      <c r="B992" t="s">
        <v>43</v>
      </c>
      <c r="C992">
        <f>IF(Table1[[#This Row],[Attrition]]="Yes",1,0)</f>
        <v>0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3">
      <c r="A993">
        <v>32</v>
      </c>
      <c r="B993" t="s">
        <v>43</v>
      </c>
      <c r="C993">
        <f>IF(Table1[[#This Row],[Attrition]]="Yes",1,0)</f>
        <v>0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3">
      <c r="A994">
        <v>39</v>
      </c>
      <c r="B994" t="s">
        <v>43</v>
      </c>
      <c r="C994">
        <f>IF(Table1[[#This Row],[Attrition]]="Yes",1,0)</f>
        <v>0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3">
      <c r="A995">
        <v>25</v>
      </c>
      <c r="B995" t="s">
        <v>43</v>
      </c>
      <c r="C995">
        <f>IF(Table1[[#This Row],[Attrition]]="Yes",1,0)</f>
        <v>0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3">
      <c r="A996">
        <v>52</v>
      </c>
      <c r="B996" t="s">
        <v>43</v>
      </c>
      <c r="C996">
        <f>IF(Table1[[#This Row],[Attrition]]="Yes",1,0)</f>
        <v>0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3">
      <c r="A997">
        <v>43</v>
      </c>
      <c r="B997" t="s">
        <v>43</v>
      </c>
      <c r="C997">
        <f>IF(Table1[[#This Row],[Attrition]]="Yes",1,0)</f>
        <v>0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3">
      <c r="A998">
        <v>27</v>
      </c>
      <c r="B998" t="s">
        <v>43</v>
      </c>
      <c r="C998">
        <f>IF(Table1[[#This Row],[Attrition]]="Yes",1,0)</f>
        <v>0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3">
      <c r="A999">
        <v>27</v>
      </c>
      <c r="B999" t="s">
        <v>35</v>
      </c>
      <c r="C999">
        <f>IF(Table1[[#This Row],[Attrition]]="Yes",1,0)</f>
        <v>1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3">
      <c r="A1000">
        <v>26</v>
      </c>
      <c r="B1000" t="s">
        <v>43</v>
      </c>
      <c r="C1000">
        <f>IF(Table1[[#This Row],[Attrition]]="Yes",1,0)</f>
        <v>0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3">
      <c r="A1001">
        <v>42</v>
      </c>
      <c r="B1001" t="s">
        <v>43</v>
      </c>
      <c r="C1001">
        <f>IF(Table1[[#This Row],[Attrition]]="Yes",1,0)</f>
        <v>0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3">
      <c r="A1002">
        <v>52</v>
      </c>
      <c r="B1002" t="s">
        <v>43</v>
      </c>
      <c r="C1002">
        <f>IF(Table1[[#This Row],[Attrition]]="Yes",1,0)</f>
        <v>0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3">
      <c r="A1003">
        <v>37</v>
      </c>
      <c r="B1003" t="s">
        <v>43</v>
      </c>
      <c r="C1003">
        <f>IF(Table1[[#This Row],[Attrition]]="Yes",1,0)</f>
        <v>0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3">
      <c r="A1004">
        <v>35</v>
      </c>
      <c r="B1004" t="s">
        <v>43</v>
      </c>
      <c r="C1004">
        <f>IF(Table1[[#This Row],[Attrition]]="Yes",1,0)</f>
        <v>0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3">
      <c r="A1005">
        <v>25</v>
      </c>
      <c r="B1005" t="s">
        <v>43</v>
      </c>
      <c r="C1005">
        <f>IF(Table1[[#This Row],[Attrition]]="Yes",1,0)</f>
        <v>0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3">
      <c r="A1006">
        <v>26</v>
      </c>
      <c r="B1006" t="s">
        <v>43</v>
      </c>
      <c r="C1006">
        <f>IF(Table1[[#This Row],[Attrition]]="Yes",1,0)</f>
        <v>0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3">
      <c r="A1007">
        <v>29</v>
      </c>
      <c r="B1007" t="s">
        <v>43</v>
      </c>
      <c r="C1007">
        <f>IF(Table1[[#This Row],[Attrition]]="Yes",1,0)</f>
        <v>0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3">
      <c r="A1008">
        <v>49</v>
      </c>
      <c r="B1008" t="s">
        <v>35</v>
      </c>
      <c r="C1008">
        <f>IF(Table1[[#This Row],[Attrition]]="Yes",1,0)</f>
        <v>1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3">
      <c r="A1009">
        <v>29</v>
      </c>
      <c r="B1009" t="s">
        <v>35</v>
      </c>
      <c r="C1009">
        <f>IF(Table1[[#This Row],[Attrition]]="Yes",1,0)</f>
        <v>1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3">
      <c r="A1010">
        <v>54</v>
      </c>
      <c r="B1010" t="s">
        <v>43</v>
      </c>
      <c r="C1010">
        <f>IF(Table1[[#This Row],[Attrition]]="Yes",1,0)</f>
        <v>0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3">
      <c r="A1011">
        <v>58</v>
      </c>
      <c r="B1011" t="s">
        <v>43</v>
      </c>
      <c r="C1011">
        <f>IF(Table1[[#This Row],[Attrition]]="Yes",1,0)</f>
        <v>0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3">
      <c r="A1012">
        <v>55</v>
      </c>
      <c r="B1012" t="s">
        <v>43</v>
      </c>
      <c r="C1012">
        <f>IF(Table1[[#This Row],[Attrition]]="Yes",1,0)</f>
        <v>0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3">
      <c r="A1013">
        <v>36</v>
      </c>
      <c r="B1013" t="s">
        <v>43</v>
      </c>
      <c r="C1013">
        <f>IF(Table1[[#This Row],[Attrition]]="Yes",1,0)</f>
        <v>0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3">
      <c r="A1014">
        <v>31</v>
      </c>
      <c r="B1014" t="s">
        <v>35</v>
      </c>
      <c r="C1014">
        <f>IF(Table1[[#This Row],[Attrition]]="Yes",1,0)</f>
        <v>1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3">
      <c r="A1015">
        <v>30</v>
      </c>
      <c r="B1015" t="s">
        <v>43</v>
      </c>
      <c r="C1015">
        <f>IF(Table1[[#This Row],[Attrition]]="Yes",1,0)</f>
        <v>0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3">
      <c r="A1016">
        <v>31</v>
      </c>
      <c r="B1016" t="s">
        <v>43</v>
      </c>
      <c r="C1016">
        <f>IF(Table1[[#This Row],[Attrition]]="Yes",1,0)</f>
        <v>0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3">
      <c r="A1017">
        <v>34</v>
      </c>
      <c r="B1017" t="s">
        <v>43</v>
      </c>
      <c r="C1017">
        <f>IF(Table1[[#This Row],[Attrition]]="Yes",1,0)</f>
        <v>0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3">
      <c r="A1018">
        <v>31</v>
      </c>
      <c r="B1018" t="s">
        <v>35</v>
      </c>
      <c r="C1018">
        <f>IF(Table1[[#This Row],[Attrition]]="Yes",1,0)</f>
        <v>1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3">
      <c r="A1019">
        <v>27</v>
      </c>
      <c r="B1019" t="s">
        <v>43</v>
      </c>
      <c r="C1019">
        <f>IF(Table1[[#This Row],[Attrition]]="Yes",1,0)</f>
        <v>0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3">
      <c r="A1020">
        <v>36</v>
      </c>
      <c r="B1020" t="s">
        <v>43</v>
      </c>
      <c r="C1020">
        <f>IF(Table1[[#This Row],[Attrition]]="Yes",1,0)</f>
        <v>0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3">
      <c r="A1021">
        <v>36</v>
      </c>
      <c r="B1021" t="s">
        <v>43</v>
      </c>
      <c r="C1021">
        <f>IF(Table1[[#This Row],[Attrition]]="Yes",1,0)</f>
        <v>0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3">
      <c r="A1022">
        <v>47</v>
      </c>
      <c r="B1022" t="s">
        <v>43</v>
      </c>
      <c r="C1022">
        <f>IF(Table1[[#This Row],[Attrition]]="Yes",1,0)</f>
        <v>0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3">
      <c r="A1023">
        <v>25</v>
      </c>
      <c r="B1023" t="s">
        <v>35</v>
      </c>
      <c r="C1023">
        <f>IF(Table1[[#This Row],[Attrition]]="Yes",1,0)</f>
        <v>1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3">
      <c r="A1024">
        <v>37</v>
      </c>
      <c r="B1024" t="s">
        <v>43</v>
      </c>
      <c r="C1024">
        <f>IF(Table1[[#This Row],[Attrition]]="Yes",1,0)</f>
        <v>0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3">
      <c r="A1025">
        <v>56</v>
      </c>
      <c r="B1025" t="s">
        <v>43</v>
      </c>
      <c r="C1025">
        <f>IF(Table1[[#This Row],[Attrition]]="Yes",1,0)</f>
        <v>0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3">
      <c r="A1026">
        <v>47</v>
      </c>
      <c r="B1026" t="s">
        <v>43</v>
      </c>
      <c r="C1026">
        <f>IF(Table1[[#This Row],[Attrition]]="Yes",1,0)</f>
        <v>0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3">
      <c r="A1027">
        <v>24</v>
      </c>
      <c r="B1027" t="s">
        <v>43</v>
      </c>
      <c r="C1027">
        <f>IF(Table1[[#This Row],[Attrition]]="Yes",1,0)</f>
        <v>0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3">
      <c r="A1028">
        <v>32</v>
      </c>
      <c r="B1028" t="s">
        <v>43</v>
      </c>
      <c r="C1028">
        <f>IF(Table1[[#This Row],[Attrition]]="Yes",1,0)</f>
        <v>0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3">
      <c r="A1029">
        <v>34</v>
      </c>
      <c r="B1029" t="s">
        <v>43</v>
      </c>
      <c r="C1029">
        <f>IF(Table1[[#This Row],[Attrition]]="Yes",1,0)</f>
        <v>0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3">
      <c r="A1030">
        <v>41</v>
      </c>
      <c r="B1030" t="s">
        <v>43</v>
      </c>
      <c r="C1030">
        <f>IF(Table1[[#This Row],[Attrition]]="Yes",1,0)</f>
        <v>0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3">
      <c r="A1031">
        <v>40</v>
      </c>
      <c r="B1031" t="s">
        <v>43</v>
      </c>
      <c r="C1031">
        <f>IF(Table1[[#This Row],[Attrition]]="Yes",1,0)</f>
        <v>0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3">
      <c r="A1032">
        <v>31</v>
      </c>
      <c r="B1032" t="s">
        <v>43</v>
      </c>
      <c r="C1032">
        <f>IF(Table1[[#This Row],[Attrition]]="Yes",1,0)</f>
        <v>0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3">
      <c r="A1033">
        <v>46</v>
      </c>
      <c r="B1033" t="s">
        <v>35</v>
      </c>
      <c r="C1033">
        <f>IF(Table1[[#This Row],[Attrition]]="Yes",1,0)</f>
        <v>1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3">
      <c r="A1034">
        <v>39</v>
      </c>
      <c r="B1034" t="s">
        <v>35</v>
      </c>
      <c r="C1034">
        <f>IF(Table1[[#This Row],[Attrition]]="Yes",1,0)</f>
        <v>1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3">
      <c r="A1035">
        <v>31</v>
      </c>
      <c r="B1035" t="s">
        <v>35</v>
      </c>
      <c r="C1035">
        <f>IF(Table1[[#This Row],[Attrition]]="Yes",1,0)</f>
        <v>1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3">
      <c r="A1036">
        <v>45</v>
      </c>
      <c r="B1036" t="s">
        <v>43</v>
      </c>
      <c r="C1036">
        <f>IF(Table1[[#This Row],[Attrition]]="Yes",1,0)</f>
        <v>0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3">
      <c r="A1037">
        <v>31</v>
      </c>
      <c r="B1037" t="s">
        <v>43</v>
      </c>
      <c r="C1037">
        <f>IF(Table1[[#This Row],[Attrition]]="Yes",1,0)</f>
        <v>0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3">
      <c r="A1038">
        <v>31</v>
      </c>
      <c r="B1038" t="s">
        <v>35</v>
      </c>
      <c r="C1038">
        <f>IF(Table1[[#This Row],[Attrition]]="Yes",1,0)</f>
        <v>1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3">
      <c r="A1039">
        <v>45</v>
      </c>
      <c r="B1039" t="s">
        <v>43</v>
      </c>
      <c r="C1039">
        <f>IF(Table1[[#This Row],[Attrition]]="Yes",1,0)</f>
        <v>0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3">
      <c r="A1040">
        <v>48</v>
      </c>
      <c r="B1040" t="s">
        <v>43</v>
      </c>
      <c r="C1040">
        <f>IF(Table1[[#This Row],[Attrition]]="Yes",1,0)</f>
        <v>0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3">
      <c r="A1041">
        <v>34</v>
      </c>
      <c r="B1041" t="s">
        <v>35</v>
      </c>
      <c r="C1041">
        <f>IF(Table1[[#This Row],[Attrition]]="Yes",1,0)</f>
        <v>1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3">
      <c r="A1042">
        <v>40</v>
      </c>
      <c r="B1042" t="s">
        <v>43</v>
      </c>
      <c r="C1042">
        <f>IF(Table1[[#This Row],[Attrition]]="Yes",1,0)</f>
        <v>0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3">
      <c r="A1043">
        <v>28</v>
      </c>
      <c r="B1043" t="s">
        <v>43</v>
      </c>
      <c r="C1043">
        <f>IF(Table1[[#This Row],[Attrition]]="Yes",1,0)</f>
        <v>0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3">
      <c r="A1044">
        <v>44</v>
      </c>
      <c r="B1044" t="s">
        <v>43</v>
      </c>
      <c r="C1044">
        <f>IF(Table1[[#This Row],[Attrition]]="Yes",1,0)</f>
        <v>0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3">
      <c r="A1045">
        <v>53</v>
      </c>
      <c r="B1045" t="s">
        <v>43</v>
      </c>
      <c r="C1045">
        <f>IF(Table1[[#This Row],[Attrition]]="Yes",1,0)</f>
        <v>0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3">
      <c r="A1046">
        <v>49</v>
      </c>
      <c r="B1046" t="s">
        <v>43</v>
      </c>
      <c r="C1046">
        <f>IF(Table1[[#This Row],[Attrition]]="Yes",1,0)</f>
        <v>0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3">
      <c r="A1047">
        <v>40</v>
      </c>
      <c r="B1047" t="s">
        <v>43</v>
      </c>
      <c r="C1047">
        <f>IF(Table1[[#This Row],[Attrition]]="Yes",1,0)</f>
        <v>0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3">
      <c r="A1048">
        <v>44</v>
      </c>
      <c r="B1048" t="s">
        <v>43</v>
      </c>
      <c r="C1048">
        <f>IF(Table1[[#This Row],[Attrition]]="Yes",1,0)</f>
        <v>0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3">
      <c r="A1049">
        <v>33</v>
      </c>
      <c r="B1049" t="s">
        <v>43</v>
      </c>
      <c r="C1049">
        <f>IF(Table1[[#This Row],[Attrition]]="Yes",1,0)</f>
        <v>0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3">
      <c r="A1050">
        <v>34</v>
      </c>
      <c r="B1050" t="s">
        <v>43</v>
      </c>
      <c r="C1050">
        <f>IF(Table1[[#This Row],[Attrition]]="Yes",1,0)</f>
        <v>0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3">
      <c r="A1051">
        <v>30</v>
      </c>
      <c r="B1051" t="s">
        <v>43</v>
      </c>
      <c r="C1051">
        <f>IF(Table1[[#This Row],[Attrition]]="Yes",1,0)</f>
        <v>0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3">
      <c r="A1052">
        <v>42</v>
      </c>
      <c r="B1052" t="s">
        <v>43</v>
      </c>
      <c r="C1052">
        <f>IF(Table1[[#This Row],[Attrition]]="Yes",1,0)</f>
        <v>0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3">
      <c r="A1053">
        <v>44</v>
      </c>
      <c r="B1053" t="s">
        <v>43</v>
      </c>
      <c r="C1053">
        <f>IF(Table1[[#This Row],[Attrition]]="Yes",1,0)</f>
        <v>0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t="s">
        <v>43</v>
      </c>
      <c r="C1054">
        <f>IF(Table1[[#This Row],[Attrition]]="Yes",1,0)</f>
        <v>0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t="s">
        <v>43</v>
      </c>
      <c r="C1055">
        <f>IF(Table1[[#This Row],[Attrition]]="Yes",1,0)</f>
        <v>0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3">
      <c r="A1056">
        <v>49</v>
      </c>
      <c r="B1056" t="s">
        <v>43</v>
      </c>
      <c r="C1056">
        <f>IF(Table1[[#This Row],[Attrition]]="Yes",1,0)</f>
        <v>0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3">
      <c r="A1057">
        <v>34</v>
      </c>
      <c r="B1057" t="s">
        <v>43</v>
      </c>
      <c r="C1057">
        <f>IF(Table1[[#This Row],[Attrition]]="Yes",1,0)</f>
        <v>0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3">
      <c r="A1058">
        <v>28</v>
      </c>
      <c r="B1058" t="s">
        <v>35</v>
      </c>
      <c r="C1058">
        <f>IF(Table1[[#This Row],[Attrition]]="Yes",1,0)</f>
        <v>1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3">
      <c r="A1059">
        <v>29</v>
      </c>
      <c r="B1059" t="s">
        <v>35</v>
      </c>
      <c r="C1059">
        <f>IF(Table1[[#This Row],[Attrition]]="Yes",1,0)</f>
        <v>1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3">
      <c r="A1060">
        <v>34</v>
      </c>
      <c r="B1060" t="s">
        <v>35</v>
      </c>
      <c r="C1060">
        <f>IF(Table1[[#This Row],[Attrition]]="Yes",1,0)</f>
        <v>1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3">
      <c r="A1061">
        <v>35</v>
      </c>
      <c r="B1061" t="s">
        <v>43</v>
      </c>
      <c r="C1061">
        <f>IF(Table1[[#This Row],[Attrition]]="Yes",1,0)</f>
        <v>0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t="s">
        <v>35</v>
      </c>
      <c r="C1062">
        <f>IF(Table1[[#This Row],[Attrition]]="Yes",1,0)</f>
        <v>1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24</v>
      </c>
      <c r="B1063" t="s">
        <v>43</v>
      </c>
      <c r="C1063">
        <f>IF(Table1[[#This Row],[Attrition]]="Yes",1,0)</f>
        <v>0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t="s">
        <v>43</v>
      </c>
      <c r="C1064">
        <f>IF(Table1[[#This Row],[Attrition]]="Yes",1,0)</f>
        <v>0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3">
      <c r="A1065">
        <v>29</v>
      </c>
      <c r="B1065" t="s">
        <v>43</v>
      </c>
      <c r="C1065">
        <f>IF(Table1[[#This Row],[Attrition]]="Yes",1,0)</f>
        <v>0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3">
      <c r="A1066">
        <v>30</v>
      </c>
      <c r="B1066" t="s">
        <v>43</v>
      </c>
      <c r="C1066">
        <f>IF(Table1[[#This Row],[Attrition]]="Yes",1,0)</f>
        <v>0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3">
      <c r="A1067">
        <v>55</v>
      </c>
      <c r="B1067" t="s">
        <v>43</v>
      </c>
      <c r="C1067">
        <f>IF(Table1[[#This Row],[Attrition]]="Yes",1,0)</f>
        <v>0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3">
      <c r="A1068">
        <v>33</v>
      </c>
      <c r="B1068" t="s">
        <v>43</v>
      </c>
      <c r="C1068">
        <f>IF(Table1[[#This Row],[Attrition]]="Yes",1,0)</f>
        <v>0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3">
      <c r="A1069">
        <v>47</v>
      </c>
      <c r="B1069" t="s">
        <v>43</v>
      </c>
      <c r="C1069">
        <f>IF(Table1[[#This Row],[Attrition]]="Yes",1,0)</f>
        <v>0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3">
      <c r="A1070">
        <v>28</v>
      </c>
      <c r="B1070" t="s">
        <v>35</v>
      </c>
      <c r="C1070">
        <f>IF(Table1[[#This Row],[Attrition]]="Yes",1,0)</f>
        <v>1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>
        <v>28</v>
      </c>
      <c r="B1071" t="s">
        <v>43</v>
      </c>
      <c r="C1071">
        <f>IF(Table1[[#This Row],[Attrition]]="Yes",1,0)</f>
        <v>0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t="s">
        <v>43</v>
      </c>
      <c r="C1072">
        <f>IF(Table1[[#This Row],[Attrition]]="Yes",1,0)</f>
        <v>0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3">
      <c r="A1073">
        <v>49</v>
      </c>
      <c r="B1073" t="s">
        <v>43</v>
      </c>
      <c r="C1073">
        <f>IF(Table1[[#This Row],[Attrition]]="Yes",1,0)</f>
        <v>0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3">
      <c r="A1074">
        <v>29</v>
      </c>
      <c r="B1074" t="s">
        <v>43</v>
      </c>
      <c r="C1074">
        <f>IF(Table1[[#This Row],[Attrition]]="Yes",1,0)</f>
        <v>0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3">
      <c r="A1075">
        <v>28</v>
      </c>
      <c r="B1075" t="s">
        <v>43</v>
      </c>
      <c r="C1075">
        <f>IF(Table1[[#This Row],[Attrition]]="Yes",1,0)</f>
        <v>0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3">
      <c r="A1076">
        <v>33</v>
      </c>
      <c r="B1076" t="s">
        <v>43</v>
      </c>
      <c r="C1076">
        <f>IF(Table1[[#This Row],[Attrition]]="Yes",1,0)</f>
        <v>0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t="s">
        <v>43</v>
      </c>
      <c r="C1077">
        <f>IF(Table1[[#This Row],[Attrition]]="Yes",1,0)</f>
        <v>0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3">
      <c r="A1078">
        <v>54</v>
      </c>
      <c r="B1078" t="s">
        <v>43</v>
      </c>
      <c r="C1078">
        <f>IF(Table1[[#This Row],[Attrition]]="Yes",1,0)</f>
        <v>0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3">
      <c r="A1079">
        <v>29</v>
      </c>
      <c r="B1079" t="s">
        <v>35</v>
      </c>
      <c r="C1079">
        <f>IF(Table1[[#This Row],[Attrition]]="Yes",1,0)</f>
        <v>1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3">
      <c r="A1080">
        <v>44</v>
      </c>
      <c r="B1080" t="s">
        <v>43</v>
      </c>
      <c r="C1080">
        <f>IF(Table1[[#This Row],[Attrition]]="Yes",1,0)</f>
        <v>0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3">
      <c r="A1081">
        <v>39</v>
      </c>
      <c r="B1081" t="s">
        <v>43</v>
      </c>
      <c r="C1081">
        <f>IF(Table1[[#This Row],[Attrition]]="Yes",1,0)</f>
        <v>0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3">
      <c r="A1082">
        <v>46</v>
      </c>
      <c r="B1082" t="s">
        <v>43</v>
      </c>
      <c r="C1082">
        <f>IF(Table1[[#This Row],[Attrition]]="Yes",1,0)</f>
        <v>0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3">
      <c r="A1083">
        <v>35</v>
      </c>
      <c r="B1083" t="s">
        <v>43</v>
      </c>
      <c r="C1083">
        <f>IF(Table1[[#This Row],[Attrition]]="Yes",1,0)</f>
        <v>0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3">
      <c r="A1084">
        <v>23</v>
      </c>
      <c r="B1084" t="s">
        <v>43</v>
      </c>
      <c r="C1084">
        <f>IF(Table1[[#This Row],[Attrition]]="Yes",1,0)</f>
        <v>0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3">
      <c r="A1085">
        <v>40</v>
      </c>
      <c r="B1085" t="s">
        <v>35</v>
      </c>
      <c r="C1085">
        <f>IF(Table1[[#This Row],[Attrition]]="Yes",1,0)</f>
        <v>1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3">
      <c r="A1086">
        <v>34</v>
      </c>
      <c r="B1086" t="s">
        <v>43</v>
      </c>
      <c r="C1086">
        <f>IF(Table1[[#This Row],[Attrition]]="Yes",1,0)</f>
        <v>0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3">
      <c r="A1087">
        <v>31</v>
      </c>
      <c r="B1087" t="s">
        <v>35</v>
      </c>
      <c r="C1087">
        <f>IF(Table1[[#This Row],[Attrition]]="Yes",1,0)</f>
        <v>1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3">
      <c r="A1088">
        <v>50</v>
      </c>
      <c r="B1088" t="s">
        <v>43</v>
      </c>
      <c r="C1088">
        <f>IF(Table1[[#This Row],[Attrition]]="Yes",1,0)</f>
        <v>0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3">
      <c r="A1089">
        <v>34</v>
      </c>
      <c r="B1089" t="s">
        <v>43</v>
      </c>
      <c r="C1089">
        <f>IF(Table1[[#This Row],[Attrition]]="Yes",1,0)</f>
        <v>0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3">
      <c r="A1090">
        <v>42</v>
      </c>
      <c r="B1090" t="s">
        <v>43</v>
      </c>
      <c r="C1090">
        <f>IF(Table1[[#This Row],[Attrition]]="Yes",1,0)</f>
        <v>0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t="s">
        <v>43</v>
      </c>
      <c r="C1091">
        <f>IF(Table1[[#This Row],[Attrition]]="Yes",1,0)</f>
        <v>0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3">
      <c r="A1092">
        <v>29</v>
      </c>
      <c r="B1092" t="s">
        <v>43</v>
      </c>
      <c r="C1092">
        <f>IF(Table1[[#This Row],[Attrition]]="Yes",1,0)</f>
        <v>0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3">
      <c r="A1093">
        <v>33</v>
      </c>
      <c r="B1093" t="s">
        <v>43</v>
      </c>
      <c r="C1093">
        <f>IF(Table1[[#This Row],[Attrition]]="Yes",1,0)</f>
        <v>0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3">
      <c r="A1094">
        <v>45</v>
      </c>
      <c r="B1094" t="s">
        <v>43</v>
      </c>
      <c r="C1094">
        <f>IF(Table1[[#This Row],[Attrition]]="Yes",1,0)</f>
        <v>0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3">
      <c r="A1095">
        <v>42</v>
      </c>
      <c r="B1095" t="s">
        <v>43</v>
      </c>
      <c r="C1095">
        <f>IF(Table1[[#This Row],[Attrition]]="Yes",1,0)</f>
        <v>0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3">
      <c r="A1096">
        <v>40</v>
      </c>
      <c r="B1096" t="s">
        <v>43</v>
      </c>
      <c r="C1096">
        <f>IF(Table1[[#This Row],[Attrition]]="Yes",1,0)</f>
        <v>0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3">
      <c r="A1097">
        <v>33</v>
      </c>
      <c r="B1097" t="s">
        <v>43</v>
      </c>
      <c r="C1097">
        <f>IF(Table1[[#This Row],[Attrition]]="Yes",1,0)</f>
        <v>0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3">
      <c r="A1098">
        <v>40</v>
      </c>
      <c r="B1098" t="s">
        <v>43</v>
      </c>
      <c r="C1098">
        <f>IF(Table1[[#This Row],[Attrition]]="Yes",1,0)</f>
        <v>0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3">
      <c r="A1099">
        <v>24</v>
      </c>
      <c r="B1099" t="s">
        <v>43</v>
      </c>
      <c r="C1099">
        <f>IF(Table1[[#This Row],[Attrition]]="Yes",1,0)</f>
        <v>0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3">
      <c r="A1100">
        <v>40</v>
      </c>
      <c r="B1100" t="s">
        <v>43</v>
      </c>
      <c r="C1100">
        <f>IF(Table1[[#This Row],[Attrition]]="Yes",1,0)</f>
        <v>0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3">
      <c r="A1101">
        <v>45</v>
      </c>
      <c r="B1101" t="s">
        <v>43</v>
      </c>
      <c r="C1101">
        <f>IF(Table1[[#This Row],[Attrition]]="Yes",1,0)</f>
        <v>0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3">
      <c r="A1102">
        <v>35</v>
      </c>
      <c r="B1102" t="s">
        <v>43</v>
      </c>
      <c r="C1102">
        <f>IF(Table1[[#This Row],[Attrition]]="Yes",1,0)</f>
        <v>0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3">
      <c r="A1103">
        <v>32</v>
      </c>
      <c r="B1103" t="s">
        <v>43</v>
      </c>
      <c r="C1103">
        <f>IF(Table1[[#This Row],[Attrition]]="Yes",1,0)</f>
        <v>0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3">
      <c r="A1104">
        <v>36</v>
      </c>
      <c r="B1104" t="s">
        <v>43</v>
      </c>
      <c r="C1104">
        <f>IF(Table1[[#This Row],[Attrition]]="Yes",1,0)</f>
        <v>0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3">
      <c r="A1105">
        <v>48</v>
      </c>
      <c r="B1105" t="s">
        <v>43</v>
      </c>
      <c r="C1105">
        <f>IF(Table1[[#This Row],[Attrition]]="Yes",1,0)</f>
        <v>0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3">
      <c r="A1106">
        <v>29</v>
      </c>
      <c r="B1106" t="s">
        <v>43</v>
      </c>
      <c r="C1106">
        <f>IF(Table1[[#This Row],[Attrition]]="Yes",1,0)</f>
        <v>0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t="s">
        <v>43</v>
      </c>
      <c r="C1107">
        <f>IF(Table1[[#This Row],[Attrition]]="Yes",1,0)</f>
        <v>0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3">
      <c r="A1108">
        <v>30</v>
      </c>
      <c r="B1108" t="s">
        <v>35</v>
      </c>
      <c r="C1108">
        <f>IF(Table1[[#This Row],[Attrition]]="Yes",1,0)</f>
        <v>1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3">
      <c r="A1109">
        <v>38</v>
      </c>
      <c r="B1109" t="s">
        <v>43</v>
      </c>
      <c r="C1109">
        <f>IF(Table1[[#This Row],[Attrition]]="Yes",1,0)</f>
        <v>0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3">
      <c r="A1110">
        <v>35</v>
      </c>
      <c r="B1110" t="s">
        <v>43</v>
      </c>
      <c r="C1110">
        <f>IF(Table1[[#This Row],[Attrition]]="Yes",1,0)</f>
        <v>0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3">
      <c r="A1111">
        <v>30</v>
      </c>
      <c r="B1111" t="s">
        <v>43</v>
      </c>
      <c r="C1111">
        <f>IF(Table1[[#This Row],[Attrition]]="Yes",1,0)</f>
        <v>0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3">
      <c r="A1112">
        <v>35</v>
      </c>
      <c r="B1112" t="s">
        <v>35</v>
      </c>
      <c r="C1112">
        <f>IF(Table1[[#This Row],[Attrition]]="Yes",1,0)</f>
        <v>1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3">
      <c r="A1113">
        <v>53</v>
      </c>
      <c r="B1113" t="s">
        <v>35</v>
      </c>
      <c r="C1113">
        <f>IF(Table1[[#This Row],[Attrition]]="Yes",1,0)</f>
        <v>1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3">
      <c r="A1114">
        <v>38</v>
      </c>
      <c r="B1114" t="s">
        <v>35</v>
      </c>
      <c r="C1114">
        <f>IF(Table1[[#This Row],[Attrition]]="Yes",1,0)</f>
        <v>1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3">
      <c r="A1115">
        <v>32</v>
      </c>
      <c r="B1115" t="s">
        <v>43</v>
      </c>
      <c r="C1115">
        <f>IF(Table1[[#This Row],[Attrition]]="Yes",1,0)</f>
        <v>0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3">
      <c r="A1116">
        <v>48</v>
      </c>
      <c r="B1116" t="s">
        <v>43</v>
      </c>
      <c r="C1116">
        <f>IF(Table1[[#This Row],[Attrition]]="Yes",1,0)</f>
        <v>0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3">
      <c r="A1117">
        <v>34</v>
      </c>
      <c r="B1117" t="s">
        <v>43</v>
      </c>
      <c r="C1117">
        <f>IF(Table1[[#This Row],[Attrition]]="Yes",1,0)</f>
        <v>0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t="s">
        <v>43</v>
      </c>
      <c r="C1118">
        <f>IF(Table1[[#This Row],[Attrition]]="Yes",1,0)</f>
        <v>0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3">
      <c r="A1119">
        <v>34</v>
      </c>
      <c r="B1119" t="s">
        <v>43</v>
      </c>
      <c r="C1119">
        <f>IF(Table1[[#This Row],[Attrition]]="Yes",1,0)</f>
        <v>0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3">
      <c r="A1120">
        <v>26</v>
      </c>
      <c r="B1120" t="s">
        <v>43</v>
      </c>
      <c r="C1120">
        <f>IF(Table1[[#This Row],[Attrition]]="Yes",1,0)</f>
        <v>0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t="s">
        <v>43</v>
      </c>
      <c r="C1121">
        <f>IF(Table1[[#This Row],[Attrition]]="Yes",1,0)</f>
        <v>0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3">
      <c r="A1122">
        <v>38</v>
      </c>
      <c r="B1122" t="s">
        <v>43</v>
      </c>
      <c r="C1122">
        <f>IF(Table1[[#This Row],[Attrition]]="Yes",1,0)</f>
        <v>0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3">
      <c r="A1123">
        <v>36</v>
      </c>
      <c r="B1123" t="s">
        <v>43</v>
      </c>
      <c r="C1123">
        <f>IF(Table1[[#This Row],[Attrition]]="Yes",1,0)</f>
        <v>0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t="s">
        <v>43</v>
      </c>
      <c r="C1124">
        <f>IF(Table1[[#This Row],[Attrition]]="Yes",1,0)</f>
        <v>0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3">
      <c r="A1125">
        <v>35</v>
      </c>
      <c r="B1125" t="s">
        <v>43</v>
      </c>
      <c r="C1125">
        <f>IF(Table1[[#This Row],[Attrition]]="Yes",1,0)</f>
        <v>0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3">
      <c r="A1126">
        <v>39</v>
      </c>
      <c r="B1126" t="s">
        <v>43</v>
      </c>
      <c r="C1126">
        <f>IF(Table1[[#This Row],[Attrition]]="Yes",1,0)</f>
        <v>0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3">
      <c r="A1127">
        <v>29</v>
      </c>
      <c r="B1127" t="s">
        <v>43</v>
      </c>
      <c r="C1127">
        <f>IF(Table1[[#This Row],[Attrition]]="Yes",1,0)</f>
        <v>0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3">
      <c r="A1128">
        <v>50</v>
      </c>
      <c r="B1128" t="s">
        <v>43</v>
      </c>
      <c r="C1128">
        <f>IF(Table1[[#This Row],[Attrition]]="Yes",1,0)</f>
        <v>0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t="s">
        <v>43</v>
      </c>
      <c r="C1129">
        <f>IF(Table1[[#This Row],[Attrition]]="Yes",1,0)</f>
        <v>0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3">
      <c r="A1130">
        <v>36</v>
      </c>
      <c r="B1130" t="s">
        <v>43</v>
      </c>
      <c r="C1130">
        <f>IF(Table1[[#This Row],[Attrition]]="Yes",1,0)</f>
        <v>0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3">
      <c r="A1131">
        <v>42</v>
      </c>
      <c r="B1131" t="s">
        <v>43</v>
      </c>
      <c r="C1131">
        <f>IF(Table1[[#This Row],[Attrition]]="Yes",1,0)</f>
        <v>0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3">
      <c r="A1132">
        <v>35</v>
      </c>
      <c r="B1132" t="s">
        <v>43</v>
      </c>
      <c r="C1132">
        <f>IF(Table1[[#This Row],[Attrition]]="Yes",1,0)</f>
        <v>0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3">
      <c r="A1133">
        <v>34</v>
      </c>
      <c r="B1133" t="s">
        <v>43</v>
      </c>
      <c r="C1133">
        <f>IF(Table1[[#This Row],[Attrition]]="Yes",1,0)</f>
        <v>0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3">
      <c r="A1134">
        <v>40</v>
      </c>
      <c r="B1134" t="s">
        <v>43</v>
      </c>
      <c r="C1134">
        <f>IF(Table1[[#This Row],[Attrition]]="Yes",1,0)</f>
        <v>0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3">
      <c r="A1135">
        <v>43</v>
      </c>
      <c r="B1135" t="s">
        <v>43</v>
      </c>
      <c r="C1135">
        <f>IF(Table1[[#This Row],[Attrition]]="Yes",1,0)</f>
        <v>0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3">
      <c r="A1136">
        <v>35</v>
      </c>
      <c r="B1136" t="s">
        <v>43</v>
      </c>
      <c r="C1136">
        <f>IF(Table1[[#This Row],[Attrition]]="Yes",1,0)</f>
        <v>0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3">
      <c r="A1137">
        <v>46</v>
      </c>
      <c r="B1137" t="s">
        <v>43</v>
      </c>
      <c r="C1137">
        <f>IF(Table1[[#This Row],[Attrition]]="Yes",1,0)</f>
        <v>0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3">
      <c r="A1138">
        <v>28</v>
      </c>
      <c r="B1138" t="s">
        <v>35</v>
      </c>
      <c r="C1138">
        <f>IF(Table1[[#This Row],[Attrition]]="Yes",1,0)</f>
        <v>1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3">
      <c r="A1139">
        <v>22</v>
      </c>
      <c r="B1139" t="s">
        <v>43</v>
      </c>
      <c r="C1139">
        <f>IF(Table1[[#This Row],[Attrition]]="Yes",1,0)</f>
        <v>0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3">
      <c r="A1140">
        <v>50</v>
      </c>
      <c r="B1140" t="s">
        <v>43</v>
      </c>
      <c r="C1140">
        <f>IF(Table1[[#This Row],[Attrition]]="Yes",1,0)</f>
        <v>0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3">
      <c r="A1141">
        <v>32</v>
      </c>
      <c r="B1141" t="s">
        <v>43</v>
      </c>
      <c r="C1141">
        <f>IF(Table1[[#This Row],[Attrition]]="Yes",1,0)</f>
        <v>0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3">
      <c r="A1142">
        <v>44</v>
      </c>
      <c r="B1142" t="s">
        <v>43</v>
      </c>
      <c r="C1142">
        <f>IF(Table1[[#This Row],[Attrition]]="Yes",1,0)</f>
        <v>0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3">
      <c r="A1143">
        <v>30</v>
      </c>
      <c r="B1143" t="s">
        <v>43</v>
      </c>
      <c r="C1143">
        <f>IF(Table1[[#This Row],[Attrition]]="Yes",1,0)</f>
        <v>0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3">
      <c r="A1144">
        <v>45</v>
      </c>
      <c r="B1144" t="s">
        <v>43</v>
      </c>
      <c r="C1144">
        <f>IF(Table1[[#This Row],[Attrition]]="Yes",1,0)</f>
        <v>0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3">
      <c r="A1145">
        <v>45</v>
      </c>
      <c r="B1145" t="s">
        <v>43</v>
      </c>
      <c r="C1145">
        <f>IF(Table1[[#This Row],[Attrition]]="Yes",1,0)</f>
        <v>0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3">
      <c r="A1146">
        <v>31</v>
      </c>
      <c r="B1146" t="s">
        <v>43</v>
      </c>
      <c r="C1146">
        <f>IF(Table1[[#This Row],[Attrition]]="Yes",1,0)</f>
        <v>0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3">
      <c r="A1147">
        <v>36</v>
      </c>
      <c r="B1147" t="s">
        <v>43</v>
      </c>
      <c r="C1147">
        <f>IF(Table1[[#This Row],[Attrition]]="Yes",1,0)</f>
        <v>0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3">
      <c r="A1148">
        <v>34</v>
      </c>
      <c r="B1148" t="s">
        <v>43</v>
      </c>
      <c r="C1148">
        <f>IF(Table1[[#This Row],[Attrition]]="Yes",1,0)</f>
        <v>0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3">
      <c r="A1149">
        <v>49</v>
      </c>
      <c r="B1149" t="s">
        <v>43</v>
      </c>
      <c r="C1149">
        <f>IF(Table1[[#This Row],[Attrition]]="Yes",1,0)</f>
        <v>0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3">
      <c r="A1150">
        <v>39</v>
      </c>
      <c r="B1150" t="s">
        <v>43</v>
      </c>
      <c r="C1150">
        <f>IF(Table1[[#This Row],[Attrition]]="Yes",1,0)</f>
        <v>0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3">
      <c r="A1151">
        <v>27</v>
      </c>
      <c r="B1151" t="s">
        <v>43</v>
      </c>
      <c r="C1151">
        <f>IF(Table1[[#This Row],[Attrition]]="Yes",1,0)</f>
        <v>0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3">
      <c r="A1152">
        <v>35</v>
      </c>
      <c r="B1152" t="s">
        <v>43</v>
      </c>
      <c r="C1152">
        <f>IF(Table1[[#This Row],[Attrition]]="Yes",1,0)</f>
        <v>0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3">
      <c r="A1153">
        <v>28</v>
      </c>
      <c r="B1153" t="s">
        <v>43</v>
      </c>
      <c r="C1153">
        <f>IF(Table1[[#This Row],[Attrition]]="Yes",1,0)</f>
        <v>0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3">
      <c r="A1154">
        <v>21</v>
      </c>
      <c r="B1154" t="s">
        <v>43</v>
      </c>
      <c r="C1154">
        <f>IF(Table1[[#This Row],[Attrition]]="Yes",1,0)</f>
        <v>0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3">
      <c r="A1155">
        <v>18</v>
      </c>
      <c r="B1155" t="s">
        <v>35</v>
      </c>
      <c r="C1155">
        <f>IF(Table1[[#This Row],[Attrition]]="Yes",1,0)</f>
        <v>1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>
        <v>47</v>
      </c>
      <c r="B1156" t="s">
        <v>43</v>
      </c>
      <c r="C1156">
        <f>IF(Table1[[#This Row],[Attrition]]="Yes",1,0)</f>
        <v>0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3">
      <c r="A1157">
        <v>39</v>
      </c>
      <c r="B1157" t="s">
        <v>43</v>
      </c>
      <c r="C1157">
        <f>IF(Table1[[#This Row],[Attrition]]="Yes",1,0)</f>
        <v>0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3">
      <c r="A1158">
        <v>40</v>
      </c>
      <c r="B1158" t="s">
        <v>43</v>
      </c>
      <c r="C1158">
        <f>IF(Table1[[#This Row],[Attrition]]="Yes",1,0)</f>
        <v>0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3">
      <c r="A1159">
        <v>35</v>
      </c>
      <c r="B1159" t="s">
        <v>43</v>
      </c>
      <c r="C1159">
        <f>IF(Table1[[#This Row],[Attrition]]="Yes",1,0)</f>
        <v>0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3">
      <c r="A1160">
        <v>37</v>
      </c>
      <c r="B1160" t="s">
        <v>43</v>
      </c>
      <c r="C1160">
        <f>IF(Table1[[#This Row],[Attrition]]="Yes",1,0)</f>
        <v>0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3">
      <c r="A1161">
        <v>39</v>
      </c>
      <c r="B1161" t="s">
        <v>43</v>
      </c>
      <c r="C1161">
        <f>IF(Table1[[#This Row],[Attrition]]="Yes",1,0)</f>
        <v>0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3">
      <c r="A1162">
        <v>45</v>
      </c>
      <c r="B1162" t="s">
        <v>43</v>
      </c>
      <c r="C1162">
        <f>IF(Table1[[#This Row],[Attrition]]="Yes",1,0)</f>
        <v>0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3">
      <c r="A1163">
        <v>38</v>
      </c>
      <c r="B1163" t="s">
        <v>43</v>
      </c>
      <c r="C1163">
        <f>IF(Table1[[#This Row],[Attrition]]="Yes",1,0)</f>
        <v>0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3">
      <c r="A1164">
        <v>35</v>
      </c>
      <c r="B1164" t="s">
        <v>35</v>
      </c>
      <c r="C1164">
        <f>IF(Table1[[#This Row],[Attrition]]="Yes",1,0)</f>
        <v>1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3">
      <c r="A1165">
        <v>37</v>
      </c>
      <c r="B1165" t="s">
        <v>43</v>
      </c>
      <c r="C1165">
        <f>IF(Table1[[#This Row],[Attrition]]="Yes",1,0)</f>
        <v>0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3">
      <c r="A1166">
        <v>40</v>
      </c>
      <c r="B1166" t="s">
        <v>43</v>
      </c>
      <c r="C1166">
        <f>IF(Table1[[#This Row],[Attrition]]="Yes",1,0)</f>
        <v>0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3">
      <c r="A1167">
        <v>44</v>
      </c>
      <c r="B1167" t="s">
        <v>43</v>
      </c>
      <c r="C1167">
        <f>IF(Table1[[#This Row],[Attrition]]="Yes",1,0)</f>
        <v>0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3">
      <c r="A1168">
        <v>48</v>
      </c>
      <c r="B1168" t="s">
        <v>43</v>
      </c>
      <c r="C1168">
        <f>IF(Table1[[#This Row],[Attrition]]="Yes",1,0)</f>
        <v>0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3">
      <c r="A1169">
        <v>35</v>
      </c>
      <c r="B1169" t="s">
        <v>35</v>
      </c>
      <c r="C1169">
        <f>IF(Table1[[#This Row],[Attrition]]="Yes",1,0)</f>
        <v>1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3">
      <c r="A1170">
        <v>24</v>
      </c>
      <c r="B1170" t="s">
        <v>43</v>
      </c>
      <c r="C1170">
        <f>IF(Table1[[#This Row],[Attrition]]="Yes",1,0)</f>
        <v>0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3">
      <c r="A1171">
        <v>27</v>
      </c>
      <c r="B1171" t="s">
        <v>43</v>
      </c>
      <c r="C1171">
        <f>IF(Table1[[#This Row],[Attrition]]="Yes",1,0)</f>
        <v>0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3">
      <c r="A1172">
        <v>27</v>
      </c>
      <c r="B1172" t="s">
        <v>43</v>
      </c>
      <c r="C1172">
        <f>IF(Table1[[#This Row],[Attrition]]="Yes",1,0)</f>
        <v>0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3">
      <c r="A1173">
        <v>40</v>
      </c>
      <c r="B1173" t="s">
        <v>35</v>
      </c>
      <c r="C1173">
        <f>IF(Table1[[#This Row],[Attrition]]="Yes",1,0)</f>
        <v>1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3">
      <c r="A1174">
        <v>29</v>
      </c>
      <c r="B1174" t="s">
        <v>43</v>
      </c>
      <c r="C1174">
        <f>IF(Table1[[#This Row],[Attrition]]="Yes",1,0)</f>
        <v>0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3">
      <c r="A1175">
        <v>36</v>
      </c>
      <c r="B1175" t="s">
        <v>43</v>
      </c>
      <c r="C1175">
        <f>IF(Table1[[#This Row],[Attrition]]="Yes",1,0)</f>
        <v>0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3">
      <c r="A1176">
        <v>25</v>
      </c>
      <c r="B1176" t="s">
        <v>43</v>
      </c>
      <c r="C1176">
        <f>IF(Table1[[#This Row],[Attrition]]="Yes",1,0)</f>
        <v>0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3">
      <c r="A1177">
        <v>39</v>
      </c>
      <c r="B1177" t="s">
        <v>43</v>
      </c>
      <c r="C1177">
        <f>IF(Table1[[#This Row],[Attrition]]="Yes",1,0)</f>
        <v>0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3">
      <c r="A1178">
        <v>49</v>
      </c>
      <c r="B1178" t="s">
        <v>43</v>
      </c>
      <c r="C1178">
        <f>IF(Table1[[#This Row],[Attrition]]="Yes",1,0)</f>
        <v>0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3">
      <c r="A1179">
        <v>50</v>
      </c>
      <c r="B1179" t="s">
        <v>43</v>
      </c>
      <c r="C1179">
        <f>IF(Table1[[#This Row],[Attrition]]="Yes",1,0)</f>
        <v>0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3">
      <c r="A1180">
        <v>20</v>
      </c>
      <c r="B1180" t="s">
        <v>43</v>
      </c>
      <c r="C1180">
        <f>IF(Table1[[#This Row],[Attrition]]="Yes",1,0)</f>
        <v>0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3">
      <c r="A1181">
        <v>34</v>
      </c>
      <c r="B1181" t="s">
        <v>43</v>
      </c>
      <c r="C1181">
        <f>IF(Table1[[#This Row],[Attrition]]="Yes",1,0)</f>
        <v>0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3">
      <c r="A1182">
        <v>36</v>
      </c>
      <c r="B1182" t="s">
        <v>43</v>
      </c>
      <c r="C1182">
        <f>IF(Table1[[#This Row],[Attrition]]="Yes",1,0)</f>
        <v>0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3">
      <c r="A1183">
        <v>49</v>
      </c>
      <c r="B1183" t="s">
        <v>43</v>
      </c>
      <c r="C1183">
        <f>IF(Table1[[#This Row],[Attrition]]="Yes",1,0)</f>
        <v>0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3">
      <c r="A1184">
        <v>36</v>
      </c>
      <c r="B1184" t="s">
        <v>43</v>
      </c>
      <c r="C1184">
        <f>IF(Table1[[#This Row],[Attrition]]="Yes",1,0)</f>
        <v>0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3">
      <c r="A1185">
        <v>36</v>
      </c>
      <c r="B1185" t="s">
        <v>43</v>
      </c>
      <c r="C1185">
        <f>IF(Table1[[#This Row],[Attrition]]="Yes",1,0)</f>
        <v>0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3">
      <c r="A1186">
        <v>54</v>
      </c>
      <c r="B1186" t="s">
        <v>43</v>
      </c>
      <c r="C1186">
        <f>IF(Table1[[#This Row],[Attrition]]="Yes",1,0)</f>
        <v>0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3">
      <c r="A1187">
        <v>43</v>
      </c>
      <c r="B1187" t="s">
        <v>43</v>
      </c>
      <c r="C1187">
        <f>IF(Table1[[#This Row],[Attrition]]="Yes",1,0)</f>
        <v>0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3">
      <c r="A1188">
        <v>35</v>
      </c>
      <c r="B1188" t="s">
        <v>35</v>
      </c>
      <c r="C1188">
        <f>IF(Table1[[#This Row],[Attrition]]="Yes",1,0)</f>
        <v>1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3">
      <c r="A1189">
        <v>38</v>
      </c>
      <c r="B1189" t="s">
        <v>43</v>
      </c>
      <c r="C1189">
        <f>IF(Table1[[#This Row],[Attrition]]="Yes",1,0)</f>
        <v>0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3">
      <c r="A1190">
        <v>29</v>
      </c>
      <c r="B1190" t="s">
        <v>43</v>
      </c>
      <c r="C1190">
        <f>IF(Table1[[#This Row],[Attrition]]="Yes",1,0)</f>
        <v>0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3">
      <c r="A1191">
        <v>33</v>
      </c>
      <c r="B1191" t="s">
        <v>43</v>
      </c>
      <c r="C1191">
        <f>IF(Table1[[#This Row],[Attrition]]="Yes",1,0)</f>
        <v>0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3">
      <c r="A1192">
        <v>32</v>
      </c>
      <c r="B1192" t="s">
        <v>43</v>
      </c>
      <c r="C1192">
        <f>IF(Table1[[#This Row],[Attrition]]="Yes",1,0)</f>
        <v>0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3">
      <c r="A1193">
        <v>31</v>
      </c>
      <c r="B1193" t="s">
        <v>43</v>
      </c>
      <c r="C1193">
        <f>IF(Table1[[#This Row],[Attrition]]="Yes",1,0)</f>
        <v>0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3">
      <c r="A1194">
        <v>49</v>
      </c>
      <c r="B1194" t="s">
        <v>43</v>
      </c>
      <c r="C1194">
        <f>IF(Table1[[#This Row],[Attrition]]="Yes",1,0)</f>
        <v>0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3">
      <c r="A1195">
        <v>38</v>
      </c>
      <c r="B1195" t="s">
        <v>43</v>
      </c>
      <c r="C1195">
        <f>IF(Table1[[#This Row],[Attrition]]="Yes",1,0)</f>
        <v>0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3">
      <c r="A1196">
        <v>47</v>
      </c>
      <c r="B1196" t="s">
        <v>43</v>
      </c>
      <c r="C1196">
        <f>IF(Table1[[#This Row],[Attrition]]="Yes",1,0)</f>
        <v>0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3">
      <c r="A1197">
        <v>49</v>
      </c>
      <c r="B1197" t="s">
        <v>43</v>
      </c>
      <c r="C1197">
        <f>IF(Table1[[#This Row],[Attrition]]="Yes",1,0)</f>
        <v>0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3">
      <c r="A1198">
        <v>41</v>
      </c>
      <c r="B1198" t="s">
        <v>43</v>
      </c>
      <c r="C1198">
        <f>IF(Table1[[#This Row],[Attrition]]="Yes",1,0)</f>
        <v>0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3">
      <c r="A1199">
        <v>20</v>
      </c>
      <c r="B1199" t="s">
        <v>43</v>
      </c>
      <c r="C1199">
        <f>IF(Table1[[#This Row],[Attrition]]="Yes",1,0)</f>
        <v>0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3">
      <c r="A1200">
        <v>33</v>
      </c>
      <c r="B1200" t="s">
        <v>43</v>
      </c>
      <c r="C1200">
        <f>IF(Table1[[#This Row],[Attrition]]="Yes",1,0)</f>
        <v>0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3">
      <c r="A1201">
        <v>36</v>
      </c>
      <c r="B1201" t="s">
        <v>43</v>
      </c>
      <c r="C1201">
        <f>IF(Table1[[#This Row],[Attrition]]="Yes",1,0)</f>
        <v>0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3">
      <c r="A1202">
        <v>44</v>
      </c>
      <c r="B1202" t="s">
        <v>43</v>
      </c>
      <c r="C1202">
        <f>IF(Table1[[#This Row],[Attrition]]="Yes",1,0)</f>
        <v>0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3">
      <c r="A1203">
        <v>23</v>
      </c>
      <c r="B1203" t="s">
        <v>35</v>
      </c>
      <c r="C1203">
        <f>IF(Table1[[#This Row],[Attrition]]="Yes",1,0)</f>
        <v>1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3">
      <c r="A1204">
        <v>38</v>
      </c>
      <c r="B1204" t="s">
        <v>43</v>
      </c>
      <c r="C1204">
        <f>IF(Table1[[#This Row],[Attrition]]="Yes",1,0)</f>
        <v>0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t="s">
        <v>43</v>
      </c>
      <c r="C1205">
        <f>IF(Table1[[#This Row],[Attrition]]="Yes",1,0)</f>
        <v>0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3">
      <c r="A1206">
        <v>48</v>
      </c>
      <c r="B1206" t="s">
        <v>35</v>
      </c>
      <c r="C1206">
        <f>IF(Table1[[#This Row],[Attrition]]="Yes",1,0)</f>
        <v>1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3">
      <c r="A1207">
        <v>32</v>
      </c>
      <c r="B1207" t="s">
        <v>35</v>
      </c>
      <c r="C1207">
        <f>IF(Table1[[#This Row],[Attrition]]="Yes",1,0)</f>
        <v>1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3">
      <c r="A1208">
        <v>26</v>
      </c>
      <c r="B1208" t="s">
        <v>43</v>
      </c>
      <c r="C1208">
        <f>IF(Table1[[#This Row],[Attrition]]="Yes",1,0)</f>
        <v>0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3">
      <c r="A1209">
        <v>55</v>
      </c>
      <c r="B1209" t="s">
        <v>43</v>
      </c>
      <c r="C1209">
        <f>IF(Table1[[#This Row],[Attrition]]="Yes",1,0)</f>
        <v>0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3">
      <c r="A1210">
        <v>34</v>
      </c>
      <c r="B1210" t="s">
        <v>43</v>
      </c>
      <c r="C1210">
        <f>IF(Table1[[#This Row],[Attrition]]="Yes",1,0)</f>
        <v>0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3">
      <c r="A1211">
        <v>60</v>
      </c>
      <c r="B1211" t="s">
        <v>43</v>
      </c>
      <c r="C1211">
        <f>IF(Table1[[#This Row],[Attrition]]="Yes",1,0)</f>
        <v>0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t="s">
        <v>43</v>
      </c>
      <c r="C1212">
        <f>IF(Table1[[#This Row],[Attrition]]="Yes",1,0)</f>
        <v>0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3">
      <c r="A1213">
        <v>37</v>
      </c>
      <c r="B1213" t="s">
        <v>43</v>
      </c>
      <c r="C1213">
        <f>IF(Table1[[#This Row],[Attrition]]="Yes",1,0)</f>
        <v>0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3">
      <c r="A1214">
        <v>34</v>
      </c>
      <c r="B1214" t="s">
        <v>43</v>
      </c>
      <c r="C1214">
        <f>IF(Table1[[#This Row],[Attrition]]="Yes",1,0)</f>
        <v>0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3">
      <c r="A1215">
        <v>23</v>
      </c>
      <c r="B1215" t="s">
        <v>35</v>
      </c>
      <c r="C1215">
        <f>IF(Table1[[#This Row],[Attrition]]="Yes",1,0)</f>
        <v>1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3">
      <c r="A1216">
        <v>44</v>
      </c>
      <c r="B1216" t="s">
        <v>43</v>
      </c>
      <c r="C1216">
        <f>IF(Table1[[#This Row],[Attrition]]="Yes",1,0)</f>
        <v>0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3">
      <c r="A1217">
        <v>35</v>
      </c>
      <c r="B1217" t="s">
        <v>43</v>
      </c>
      <c r="C1217">
        <f>IF(Table1[[#This Row],[Attrition]]="Yes",1,0)</f>
        <v>0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3">
      <c r="A1218">
        <v>43</v>
      </c>
      <c r="B1218" t="s">
        <v>43</v>
      </c>
      <c r="C1218">
        <f>IF(Table1[[#This Row],[Attrition]]="Yes",1,0)</f>
        <v>0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3">
      <c r="A1219">
        <v>24</v>
      </c>
      <c r="B1219" t="s">
        <v>43</v>
      </c>
      <c r="C1219">
        <f>IF(Table1[[#This Row],[Attrition]]="Yes",1,0)</f>
        <v>0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3">
      <c r="A1220">
        <v>41</v>
      </c>
      <c r="B1220" t="s">
        <v>43</v>
      </c>
      <c r="C1220">
        <f>IF(Table1[[#This Row],[Attrition]]="Yes",1,0)</f>
        <v>0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3">
      <c r="A1221">
        <v>29</v>
      </c>
      <c r="B1221" t="s">
        <v>43</v>
      </c>
      <c r="C1221">
        <f>IF(Table1[[#This Row],[Attrition]]="Yes",1,0)</f>
        <v>0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3">
      <c r="A1222">
        <v>36</v>
      </c>
      <c r="B1222" t="s">
        <v>43</v>
      </c>
      <c r="C1222">
        <f>IF(Table1[[#This Row],[Attrition]]="Yes",1,0)</f>
        <v>0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3">
      <c r="A1223">
        <v>45</v>
      </c>
      <c r="B1223" t="s">
        <v>43</v>
      </c>
      <c r="C1223">
        <f>IF(Table1[[#This Row],[Attrition]]="Yes",1,0)</f>
        <v>0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3">
      <c r="A1224">
        <v>24</v>
      </c>
      <c r="B1224" t="s">
        <v>35</v>
      </c>
      <c r="C1224">
        <f>IF(Table1[[#This Row],[Attrition]]="Yes",1,0)</f>
        <v>1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3">
      <c r="A1225">
        <v>47</v>
      </c>
      <c r="B1225" t="s">
        <v>35</v>
      </c>
      <c r="C1225">
        <f>IF(Table1[[#This Row],[Attrition]]="Yes",1,0)</f>
        <v>1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3">
      <c r="A1226">
        <v>26</v>
      </c>
      <c r="B1226" t="s">
        <v>43</v>
      </c>
      <c r="C1226">
        <f>IF(Table1[[#This Row],[Attrition]]="Yes",1,0)</f>
        <v>0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3">
      <c r="A1227">
        <v>45</v>
      </c>
      <c r="B1227" t="s">
        <v>43</v>
      </c>
      <c r="C1227">
        <f>IF(Table1[[#This Row],[Attrition]]="Yes",1,0)</f>
        <v>0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3">
      <c r="A1228">
        <v>32</v>
      </c>
      <c r="B1228" t="s">
        <v>43</v>
      </c>
      <c r="C1228">
        <f>IF(Table1[[#This Row],[Attrition]]="Yes",1,0)</f>
        <v>0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3">
      <c r="A1229">
        <v>31</v>
      </c>
      <c r="B1229" t="s">
        <v>43</v>
      </c>
      <c r="C1229">
        <f>IF(Table1[[#This Row],[Attrition]]="Yes",1,0)</f>
        <v>0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3">
      <c r="A1230">
        <v>41</v>
      </c>
      <c r="B1230" t="s">
        <v>43</v>
      </c>
      <c r="C1230">
        <f>IF(Table1[[#This Row],[Attrition]]="Yes",1,0)</f>
        <v>0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3">
      <c r="A1231">
        <v>40</v>
      </c>
      <c r="B1231" t="s">
        <v>43</v>
      </c>
      <c r="C1231">
        <f>IF(Table1[[#This Row],[Attrition]]="Yes",1,0)</f>
        <v>0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t="s">
        <v>43</v>
      </c>
      <c r="C1232">
        <f>IF(Table1[[#This Row],[Attrition]]="Yes",1,0)</f>
        <v>0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3">
      <c r="A1233">
        <v>46</v>
      </c>
      <c r="B1233" t="s">
        <v>43</v>
      </c>
      <c r="C1233">
        <f>IF(Table1[[#This Row],[Attrition]]="Yes",1,0)</f>
        <v>0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3">
      <c r="A1234">
        <v>35</v>
      </c>
      <c r="B1234" t="s">
        <v>43</v>
      </c>
      <c r="C1234">
        <f>IF(Table1[[#This Row],[Attrition]]="Yes",1,0)</f>
        <v>0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3">
      <c r="A1235">
        <v>30</v>
      </c>
      <c r="B1235" t="s">
        <v>43</v>
      </c>
      <c r="C1235">
        <f>IF(Table1[[#This Row],[Attrition]]="Yes",1,0)</f>
        <v>0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3">
      <c r="A1236">
        <v>47</v>
      </c>
      <c r="B1236" t="s">
        <v>43</v>
      </c>
      <c r="C1236">
        <f>IF(Table1[[#This Row],[Attrition]]="Yes",1,0)</f>
        <v>0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t="s">
        <v>43</v>
      </c>
      <c r="C1237">
        <f>IF(Table1[[#This Row],[Attrition]]="Yes",1,0)</f>
        <v>0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3">
      <c r="A1238">
        <v>36</v>
      </c>
      <c r="B1238" t="s">
        <v>35</v>
      </c>
      <c r="C1238">
        <f>IF(Table1[[#This Row],[Attrition]]="Yes",1,0)</f>
        <v>1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3">
      <c r="A1239">
        <v>32</v>
      </c>
      <c r="B1239" t="s">
        <v>35</v>
      </c>
      <c r="C1239">
        <f>IF(Table1[[#This Row],[Attrition]]="Yes",1,0)</f>
        <v>1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>
        <v>23</v>
      </c>
      <c r="B1240" t="s">
        <v>43</v>
      </c>
      <c r="C1240">
        <f>IF(Table1[[#This Row],[Attrition]]="Yes",1,0)</f>
        <v>0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3">
      <c r="A1241">
        <v>31</v>
      </c>
      <c r="B1241" t="s">
        <v>43</v>
      </c>
      <c r="C1241">
        <f>IF(Table1[[#This Row],[Attrition]]="Yes",1,0)</f>
        <v>0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3">
      <c r="A1242">
        <v>39</v>
      </c>
      <c r="B1242" t="s">
        <v>43</v>
      </c>
      <c r="C1242">
        <f>IF(Table1[[#This Row],[Attrition]]="Yes",1,0)</f>
        <v>0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3">
      <c r="A1243">
        <v>32</v>
      </c>
      <c r="B1243" t="s">
        <v>43</v>
      </c>
      <c r="C1243">
        <f>IF(Table1[[#This Row],[Attrition]]="Yes",1,0)</f>
        <v>0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3">
      <c r="A1244">
        <v>40</v>
      </c>
      <c r="B1244" t="s">
        <v>43</v>
      </c>
      <c r="C1244">
        <f>IF(Table1[[#This Row],[Attrition]]="Yes",1,0)</f>
        <v>0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3">
      <c r="A1245">
        <v>45</v>
      </c>
      <c r="B1245" t="s">
        <v>43</v>
      </c>
      <c r="C1245">
        <f>IF(Table1[[#This Row],[Attrition]]="Yes",1,0)</f>
        <v>0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3">
      <c r="A1246">
        <v>30</v>
      </c>
      <c r="B1246" t="s">
        <v>43</v>
      </c>
      <c r="C1246">
        <f>IF(Table1[[#This Row],[Attrition]]="Yes",1,0)</f>
        <v>0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3">
      <c r="A1247">
        <v>24</v>
      </c>
      <c r="B1247" t="s">
        <v>43</v>
      </c>
      <c r="C1247">
        <f>IF(Table1[[#This Row],[Attrition]]="Yes",1,0)</f>
        <v>0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3">
      <c r="A1248">
        <v>30</v>
      </c>
      <c r="B1248" t="s">
        <v>35</v>
      </c>
      <c r="C1248">
        <f>IF(Table1[[#This Row],[Attrition]]="Yes",1,0)</f>
        <v>1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3">
      <c r="A1249">
        <v>31</v>
      </c>
      <c r="B1249" t="s">
        <v>43</v>
      </c>
      <c r="C1249">
        <f>IF(Table1[[#This Row],[Attrition]]="Yes",1,0)</f>
        <v>0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3">
      <c r="A1250">
        <v>27</v>
      </c>
      <c r="B1250" t="s">
        <v>43</v>
      </c>
      <c r="C1250">
        <f>IF(Table1[[#This Row],[Attrition]]="Yes",1,0)</f>
        <v>0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3">
      <c r="A1251">
        <v>29</v>
      </c>
      <c r="B1251" t="s">
        <v>35</v>
      </c>
      <c r="C1251">
        <f>IF(Table1[[#This Row],[Attrition]]="Yes",1,0)</f>
        <v>1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3">
      <c r="A1252">
        <v>29</v>
      </c>
      <c r="B1252" t="s">
        <v>43</v>
      </c>
      <c r="C1252">
        <f>IF(Table1[[#This Row],[Attrition]]="Yes",1,0)</f>
        <v>0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3">
      <c r="A1253">
        <v>30</v>
      </c>
      <c r="B1253" t="s">
        <v>43</v>
      </c>
      <c r="C1253">
        <f>IF(Table1[[#This Row],[Attrition]]="Yes",1,0)</f>
        <v>0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3">
      <c r="A1254">
        <v>34</v>
      </c>
      <c r="B1254" t="s">
        <v>43</v>
      </c>
      <c r="C1254">
        <f>IF(Table1[[#This Row],[Attrition]]="Yes",1,0)</f>
        <v>0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3">
      <c r="A1255">
        <v>33</v>
      </c>
      <c r="B1255" t="s">
        <v>43</v>
      </c>
      <c r="C1255">
        <f>IF(Table1[[#This Row],[Attrition]]="Yes",1,0)</f>
        <v>0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3">
      <c r="A1256">
        <v>49</v>
      </c>
      <c r="B1256" t="s">
        <v>43</v>
      </c>
      <c r="C1256">
        <f>IF(Table1[[#This Row],[Attrition]]="Yes",1,0)</f>
        <v>0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3">
      <c r="A1257">
        <v>33</v>
      </c>
      <c r="B1257" t="s">
        <v>35</v>
      </c>
      <c r="C1257">
        <f>IF(Table1[[#This Row],[Attrition]]="Yes",1,0)</f>
        <v>1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>
        <v>38</v>
      </c>
      <c r="B1258" t="s">
        <v>43</v>
      </c>
      <c r="C1258">
        <f>IF(Table1[[#This Row],[Attrition]]="Yes",1,0)</f>
        <v>0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3">
      <c r="A1259">
        <v>31</v>
      </c>
      <c r="B1259" t="s">
        <v>35</v>
      </c>
      <c r="C1259">
        <f>IF(Table1[[#This Row],[Attrition]]="Yes",1,0)</f>
        <v>1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3">
      <c r="A1260">
        <v>29</v>
      </c>
      <c r="B1260" t="s">
        <v>43</v>
      </c>
      <c r="C1260">
        <f>IF(Table1[[#This Row],[Attrition]]="Yes",1,0)</f>
        <v>0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t="s">
        <v>43</v>
      </c>
      <c r="C1261">
        <f>IF(Table1[[#This Row],[Attrition]]="Yes",1,0)</f>
        <v>0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3">
      <c r="A1262">
        <v>32</v>
      </c>
      <c r="B1262" t="s">
        <v>43</v>
      </c>
      <c r="C1262">
        <f>IF(Table1[[#This Row],[Attrition]]="Yes",1,0)</f>
        <v>0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3">
      <c r="A1263">
        <v>38</v>
      </c>
      <c r="B1263" t="s">
        <v>43</v>
      </c>
      <c r="C1263">
        <f>IF(Table1[[#This Row],[Attrition]]="Yes",1,0)</f>
        <v>0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3">
      <c r="A1264">
        <v>43</v>
      </c>
      <c r="B1264" t="s">
        <v>35</v>
      </c>
      <c r="C1264">
        <f>IF(Table1[[#This Row],[Attrition]]="Yes",1,0)</f>
        <v>1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3">
      <c r="A1265">
        <v>42</v>
      </c>
      <c r="B1265" t="s">
        <v>43</v>
      </c>
      <c r="C1265">
        <f>IF(Table1[[#This Row],[Attrition]]="Yes",1,0)</f>
        <v>0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3">
      <c r="A1266">
        <v>55</v>
      </c>
      <c r="B1266" t="s">
        <v>43</v>
      </c>
      <c r="C1266">
        <f>IF(Table1[[#This Row],[Attrition]]="Yes",1,0)</f>
        <v>0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t="s">
        <v>43</v>
      </c>
      <c r="C1267">
        <f>IF(Table1[[#This Row],[Attrition]]="Yes",1,0)</f>
        <v>0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3">
      <c r="A1268">
        <v>41</v>
      </c>
      <c r="B1268" t="s">
        <v>43</v>
      </c>
      <c r="C1268">
        <f>IF(Table1[[#This Row],[Attrition]]="Yes",1,0)</f>
        <v>0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3">
      <c r="A1269">
        <v>34</v>
      </c>
      <c r="B1269" t="s">
        <v>43</v>
      </c>
      <c r="C1269">
        <f>IF(Table1[[#This Row],[Attrition]]="Yes",1,0)</f>
        <v>0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3">
      <c r="A1270">
        <v>53</v>
      </c>
      <c r="B1270" t="s">
        <v>43</v>
      </c>
      <c r="C1270">
        <f>IF(Table1[[#This Row],[Attrition]]="Yes",1,0)</f>
        <v>0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3">
      <c r="A1271">
        <v>43</v>
      </c>
      <c r="B1271" t="s">
        <v>43</v>
      </c>
      <c r="C1271">
        <f>IF(Table1[[#This Row],[Attrition]]="Yes",1,0)</f>
        <v>0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3">
      <c r="A1272">
        <v>34</v>
      </c>
      <c r="B1272" t="s">
        <v>43</v>
      </c>
      <c r="C1272">
        <f>IF(Table1[[#This Row],[Attrition]]="Yes",1,0)</f>
        <v>0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3">
      <c r="A1273">
        <v>21</v>
      </c>
      <c r="B1273" t="s">
        <v>35</v>
      </c>
      <c r="C1273">
        <f>IF(Table1[[#This Row],[Attrition]]="Yes",1,0)</f>
        <v>1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3">
      <c r="A1274">
        <v>38</v>
      </c>
      <c r="B1274" t="s">
        <v>43</v>
      </c>
      <c r="C1274">
        <f>IF(Table1[[#This Row],[Attrition]]="Yes",1,0)</f>
        <v>0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3">
      <c r="A1275">
        <v>22</v>
      </c>
      <c r="B1275" t="s">
        <v>35</v>
      </c>
      <c r="C1275">
        <f>IF(Table1[[#This Row],[Attrition]]="Yes",1,0)</f>
        <v>1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3">
      <c r="A1276">
        <v>31</v>
      </c>
      <c r="B1276" t="s">
        <v>43</v>
      </c>
      <c r="C1276">
        <f>IF(Table1[[#This Row],[Attrition]]="Yes",1,0)</f>
        <v>0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3">
      <c r="A1277">
        <v>51</v>
      </c>
      <c r="B1277" t="s">
        <v>43</v>
      </c>
      <c r="C1277">
        <f>IF(Table1[[#This Row],[Attrition]]="Yes",1,0)</f>
        <v>0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3">
      <c r="A1278">
        <v>37</v>
      </c>
      <c r="B1278" t="s">
        <v>43</v>
      </c>
      <c r="C1278">
        <f>IF(Table1[[#This Row],[Attrition]]="Yes",1,0)</f>
        <v>0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3">
      <c r="A1279">
        <v>46</v>
      </c>
      <c r="B1279" t="s">
        <v>43</v>
      </c>
      <c r="C1279">
        <f>IF(Table1[[#This Row],[Attrition]]="Yes",1,0)</f>
        <v>0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3">
      <c r="A1280">
        <v>36</v>
      </c>
      <c r="B1280" t="s">
        <v>43</v>
      </c>
      <c r="C1280">
        <f>IF(Table1[[#This Row],[Attrition]]="Yes",1,0)</f>
        <v>0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3">
      <c r="A1281">
        <v>44</v>
      </c>
      <c r="B1281" t="s">
        <v>35</v>
      </c>
      <c r="C1281">
        <f>IF(Table1[[#This Row],[Attrition]]="Yes",1,0)</f>
        <v>1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3">
      <c r="A1282">
        <v>37</v>
      </c>
      <c r="B1282" t="s">
        <v>43</v>
      </c>
      <c r="C1282">
        <f>IF(Table1[[#This Row],[Attrition]]="Yes",1,0)</f>
        <v>0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3">
      <c r="A1283">
        <v>35</v>
      </c>
      <c r="B1283" t="s">
        <v>35</v>
      </c>
      <c r="C1283">
        <f>IF(Table1[[#This Row],[Attrition]]="Yes",1,0)</f>
        <v>1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3">
      <c r="A1284">
        <v>33</v>
      </c>
      <c r="B1284" t="s">
        <v>43</v>
      </c>
      <c r="C1284">
        <f>IF(Table1[[#This Row],[Attrition]]="Yes",1,0)</f>
        <v>0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3">
      <c r="A1285">
        <v>28</v>
      </c>
      <c r="B1285" t="s">
        <v>43</v>
      </c>
      <c r="C1285">
        <f>IF(Table1[[#This Row],[Attrition]]="Yes",1,0)</f>
        <v>0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3">
      <c r="A1286">
        <v>39</v>
      </c>
      <c r="B1286" t="s">
        <v>43</v>
      </c>
      <c r="C1286">
        <f>IF(Table1[[#This Row],[Attrition]]="Yes",1,0)</f>
        <v>0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3">
      <c r="A1287">
        <v>46</v>
      </c>
      <c r="B1287" t="s">
        <v>43</v>
      </c>
      <c r="C1287">
        <f>IF(Table1[[#This Row],[Attrition]]="Yes",1,0)</f>
        <v>0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3">
      <c r="A1288">
        <v>40</v>
      </c>
      <c r="B1288" t="s">
        <v>43</v>
      </c>
      <c r="C1288">
        <f>IF(Table1[[#This Row],[Attrition]]="Yes",1,0)</f>
        <v>0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3">
      <c r="A1289">
        <v>42</v>
      </c>
      <c r="B1289" t="s">
        <v>43</v>
      </c>
      <c r="C1289">
        <f>IF(Table1[[#This Row],[Attrition]]="Yes",1,0)</f>
        <v>0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t="s">
        <v>43</v>
      </c>
      <c r="C1290">
        <f>IF(Table1[[#This Row],[Attrition]]="Yes",1,0)</f>
        <v>0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3">
      <c r="A1291">
        <v>38</v>
      </c>
      <c r="B1291" t="s">
        <v>43</v>
      </c>
      <c r="C1291">
        <f>IF(Table1[[#This Row],[Attrition]]="Yes",1,0)</f>
        <v>0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3">
      <c r="A1292">
        <v>34</v>
      </c>
      <c r="B1292" t="s">
        <v>35</v>
      </c>
      <c r="C1292">
        <f>IF(Table1[[#This Row],[Attrition]]="Yes",1,0)</f>
        <v>1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3">
      <c r="A1293">
        <v>37</v>
      </c>
      <c r="B1293" t="s">
        <v>35</v>
      </c>
      <c r="C1293">
        <f>IF(Table1[[#This Row],[Attrition]]="Yes",1,0)</f>
        <v>1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3">
      <c r="A1294">
        <v>39</v>
      </c>
      <c r="B1294" t="s">
        <v>43</v>
      </c>
      <c r="C1294">
        <f>IF(Table1[[#This Row],[Attrition]]="Yes",1,0)</f>
        <v>0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3">
      <c r="A1295">
        <v>43</v>
      </c>
      <c r="B1295" t="s">
        <v>43</v>
      </c>
      <c r="C1295">
        <f>IF(Table1[[#This Row],[Attrition]]="Yes",1,0)</f>
        <v>0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3">
      <c r="A1296">
        <v>41</v>
      </c>
      <c r="B1296" t="s">
        <v>43</v>
      </c>
      <c r="C1296">
        <f>IF(Table1[[#This Row],[Attrition]]="Yes",1,0)</f>
        <v>0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3">
      <c r="A1297">
        <v>41</v>
      </c>
      <c r="B1297" t="s">
        <v>43</v>
      </c>
      <c r="C1297">
        <f>IF(Table1[[#This Row],[Attrition]]="Yes",1,0)</f>
        <v>0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3">
      <c r="A1298">
        <v>30</v>
      </c>
      <c r="B1298" t="s">
        <v>43</v>
      </c>
      <c r="C1298">
        <f>IF(Table1[[#This Row],[Attrition]]="Yes",1,0)</f>
        <v>0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3">
      <c r="A1299">
        <v>26</v>
      </c>
      <c r="B1299" t="s">
        <v>35</v>
      </c>
      <c r="C1299">
        <f>IF(Table1[[#This Row],[Attrition]]="Yes",1,0)</f>
        <v>1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3">
      <c r="A1300">
        <v>46</v>
      </c>
      <c r="B1300" t="s">
        <v>35</v>
      </c>
      <c r="C1300">
        <f>IF(Table1[[#This Row],[Attrition]]="Yes",1,0)</f>
        <v>1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3">
      <c r="A1301">
        <v>40</v>
      </c>
      <c r="B1301" t="s">
        <v>43</v>
      </c>
      <c r="C1301">
        <f>IF(Table1[[#This Row],[Attrition]]="Yes",1,0)</f>
        <v>0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3">
      <c r="A1302">
        <v>34</v>
      </c>
      <c r="B1302" t="s">
        <v>43</v>
      </c>
      <c r="C1302">
        <f>IF(Table1[[#This Row],[Attrition]]="Yes",1,0)</f>
        <v>0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3">
      <c r="A1303">
        <v>58</v>
      </c>
      <c r="B1303" t="s">
        <v>43</v>
      </c>
      <c r="C1303">
        <f>IF(Table1[[#This Row],[Attrition]]="Yes",1,0)</f>
        <v>0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3">
      <c r="A1304">
        <v>35</v>
      </c>
      <c r="B1304" t="s">
        <v>43</v>
      </c>
      <c r="C1304">
        <f>IF(Table1[[#This Row],[Attrition]]="Yes",1,0)</f>
        <v>0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3">
      <c r="A1305">
        <v>47</v>
      </c>
      <c r="B1305" t="s">
        <v>43</v>
      </c>
      <c r="C1305">
        <f>IF(Table1[[#This Row],[Attrition]]="Yes",1,0)</f>
        <v>0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3">
      <c r="A1306">
        <v>40</v>
      </c>
      <c r="B1306" t="s">
        <v>43</v>
      </c>
      <c r="C1306">
        <f>IF(Table1[[#This Row],[Attrition]]="Yes",1,0)</f>
        <v>0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3">
      <c r="A1307">
        <v>54</v>
      </c>
      <c r="B1307" t="s">
        <v>43</v>
      </c>
      <c r="C1307">
        <f>IF(Table1[[#This Row],[Attrition]]="Yes",1,0)</f>
        <v>0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3">
      <c r="A1308">
        <v>31</v>
      </c>
      <c r="B1308" t="s">
        <v>43</v>
      </c>
      <c r="C1308">
        <f>IF(Table1[[#This Row],[Attrition]]="Yes",1,0)</f>
        <v>0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3">
      <c r="A1309">
        <v>28</v>
      </c>
      <c r="B1309" t="s">
        <v>43</v>
      </c>
      <c r="C1309">
        <f>IF(Table1[[#This Row],[Attrition]]="Yes",1,0)</f>
        <v>0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3">
      <c r="A1310">
        <v>38</v>
      </c>
      <c r="B1310" t="s">
        <v>43</v>
      </c>
      <c r="C1310">
        <f>IF(Table1[[#This Row],[Attrition]]="Yes",1,0)</f>
        <v>0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3">
      <c r="A1311">
        <v>26</v>
      </c>
      <c r="B1311" t="s">
        <v>43</v>
      </c>
      <c r="C1311">
        <f>IF(Table1[[#This Row],[Attrition]]="Yes",1,0)</f>
        <v>0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3">
      <c r="A1312">
        <v>58</v>
      </c>
      <c r="B1312" t="s">
        <v>43</v>
      </c>
      <c r="C1312">
        <f>IF(Table1[[#This Row],[Attrition]]="Yes",1,0)</f>
        <v>0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3">
      <c r="A1313">
        <v>18</v>
      </c>
      <c r="B1313" t="s">
        <v>43</v>
      </c>
      <c r="C1313">
        <f>IF(Table1[[#This Row],[Attrition]]="Yes",1,0)</f>
        <v>0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t="s">
        <v>35</v>
      </c>
      <c r="C1314">
        <f>IF(Table1[[#This Row],[Attrition]]="Yes",1,0)</f>
        <v>1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3">
      <c r="A1315">
        <v>29</v>
      </c>
      <c r="B1315" t="s">
        <v>35</v>
      </c>
      <c r="C1315">
        <f>IF(Table1[[#This Row],[Attrition]]="Yes",1,0)</f>
        <v>1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3">
      <c r="A1316">
        <v>45</v>
      </c>
      <c r="B1316" t="s">
        <v>43</v>
      </c>
      <c r="C1316">
        <f>IF(Table1[[#This Row],[Attrition]]="Yes",1,0)</f>
        <v>0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3">
      <c r="A1317">
        <v>36</v>
      </c>
      <c r="B1317" t="s">
        <v>43</v>
      </c>
      <c r="C1317">
        <f>IF(Table1[[#This Row],[Attrition]]="Yes",1,0)</f>
        <v>0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t="s">
        <v>43</v>
      </c>
      <c r="C1318">
        <f>IF(Table1[[#This Row],[Attrition]]="Yes",1,0)</f>
        <v>0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3">
      <c r="A1319">
        <v>27</v>
      </c>
      <c r="B1319" t="s">
        <v>43</v>
      </c>
      <c r="C1319">
        <f>IF(Table1[[#This Row],[Attrition]]="Yes",1,0)</f>
        <v>0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3">
      <c r="A1320">
        <v>29</v>
      </c>
      <c r="B1320" t="s">
        <v>43</v>
      </c>
      <c r="C1320">
        <f>IF(Table1[[#This Row],[Attrition]]="Yes",1,0)</f>
        <v>0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3">
      <c r="A1321">
        <v>32</v>
      </c>
      <c r="B1321" t="s">
        <v>43</v>
      </c>
      <c r="C1321">
        <f>IF(Table1[[#This Row],[Attrition]]="Yes",1,0)</f>
        <v>0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t="s">
        <v>43</v>
      </c>
      <c r="C1322">
        <f>IF(Table1[[#This Row],[Attrition]]="Yes",1,0)</f>
        <v>0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3">
      <c r="A1323">
        <v>47</v>
      </c>
      <c r="B1323" t="s">
        <v>43</v>
      </c>
      <c r="C1323">
        <f>IF(Table1[[#This Row],[Attrition]]="Yes",1,0)</f>
        <v>0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3">
      <c r="A1324">
        <v>46</v>
      </c>
      <c r="B1324" t="s">
        <v>43</v>
      </c>
      <c r="C1324">
        <f>IF(Table1[[#This Row],[Attrition]]="Yes",1,0)</f>
        <v>0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3">
      <c r="A1325">
        <v>28</v>
      </c>
      <c r="B1325" t="s">
        <v>43</v>
      </c>
      <c r="C1325">
        <f>IF(Table1[[#This Row],[Attrition]]="Yes",1,0)</f>
        <v>0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3">
      <c r="A1326">
        <v>29</v>
      </c>
      <c r="B1326" t="s">
        <v>43</v>
      </c>
      <c r="C1326">
        <f>IF(Table1[[#This Row],[Attrition]]="Yes",1,0)</f>
        <v>0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3">
      <c r="A1327">
        <v>42</v>
      </c>
      <c r="B1327" t="s">
        <v>43</v>
      </c>
      <c r="C1327">
        <f>IF(Table1[[#This Row],[Attrition]]="Yes",1,0)</f>
        <v>0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t="s">
        <v>35</v>
      </c>
      <c r="C1328">
        <f>IF(Table1[[#This Row],[Attrition]]="Yes",1,0)</f>
        <v>1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3">
      <c r="A1329">
        <v>46</v>
      </c>
      <c r="B1329" t="s">
        <v>43</v>
      </c>
      <c r="C1329">
        <f>IF(Table1[[#This Row],[Attrition]]="Yes",1,0)</f>
        <v>0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3">
      <c r="A1330">
        <v>27</v>
      </c>
      <c r="B1330" t="s">
        <v>43</v>
      </c>
      <c r="C1330">
        <f>IF(Table1[[#This Row],[Attrition]]="Yes",1,0)</f>
        <v>0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3">
      <c r="A1331">
        <v>29</v>
      </c>
      <c r="B1331" t="s">
        <v>43</v>
      </c>
      <c r="C1331">
        <f>IF(Table1[[#This Row],[Attrition]]="Yes",1,0)</f>
        <v>0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t="s">
        <v>43</v>
      </c>
      <c r="C1332">
        <f>IF(Table1[[#This Row],[Attrition]]="Yes",1,0)</f>
        <v>0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3">
      <c r="A1333">
        <v>48</v>
      </c>
      <c r="B1333" t="s">
        <v>43</v>
      </c>
      <c r="C1333">
        <f>IF(Table1[[#This Row],[Attrition]]="Yes",1,0)</f>
        <v>0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3">
      <c r="A1334">
        <v>29</v>
      </c>
      <c r="B1334" t="s">
        <v>35</v>
      </c>
      <c r="C1334">
        <f>IF(Table1[[#This Row],[Attrition]]="Yes",1,0)</f>
        <v>1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3">
      <c r="A1335">
        <v>46</v>
      </c>
      <c r="B1335" t="s">
        <v>35</v>
      </c>
      <c r="C1335">
        <f>IF(Table1[[#This Row],[Attrition]]="Yes",1,0)</f>
        <v>1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3">
      <c r="A1336">
        <v>27</v>
      </c>
      <c r="B1336" t="s">
        <v>43</v>
      </c>
      <c r="C1336">
        <f>IF(Table1[[#This Row],[Attrition]]="Yes",1,0)</f>
        <v>0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3">
      <c r="A1337">
        <v>39</v>
      </c>
      <c r="B1337" t="s">
        <v>43</v>
      </c>
      <c r="C1337">
        <f>IF(Table1[[#This Row],[Attrition]]="Yes",1,0)</f>
        <v>0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3">
      <c r="A1338">
        <v>55</v>
      </c>
      <c r="B1338" t="s">
        <v>43</v>
      </c>
      <c r="C1338">
        <f>IF(Table1[[#This Row],[Attrition]]="Yes",1,0)</f>
        <v>0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3">
      <c r="A1339">
        <v>28</v>
      </c>
      <c r="B1339" t="s">
        <v>43</v>
      </c>
      <c r="C1339">
        <f>IF(Table1[[#This Row],[Attrition]]="Yes",1,0)</f>
        <v>0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t="s">
        <v>35</v>
      </c>
      <c r="C1340">
        <f>IF(Table1[[#This Row],[Attrition]]="Yes",1,0)</f>
        <v>1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3">
      <c r="A1341">
        <v>22</v>
      </c>
      <c r="B1341" t="s">
        <v>35</v>
      </c>
      <c r="C1341">
        <f>IF(Table1[[#This Row],[Attrition]]="Yes",1,0)</f>
        <v>1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3">
      <c r="A1342">
        <v>36</v>
      </c>
      <c r="B1342" t="s">
        <v>43</v>
      </c>
      <c r="C1342">
        <f>IF(Table1[[#This Row],[Attrition]]="Yes",1,0)</f>
        <v>0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3">
      <c r="A1343">
        <v>31</v>
      </c>
      <c r="B1343" t="s">
        <v>43</v>
      </c>
      <c r="C1343">
        <f>IF(Table1[[#This Row],[Attrition]]="Yes",1,0)</f>
        <v>0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3">
      <c r="A1344">
        <v>34</v>
      </c>
      <c r="B1344" t="s">
        <v>43</v>
      </c>
      <c r="C1344">
        <f>IF(Table1[[#This Row],[Attrition]]="Yes",1,0)</f>
        <v>0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3">
      <c r="A1345">
        <v>29</v>
      </c>
      <c r="B1345" t="s">
        <v>43</v>
      </c>
      <c r="C1345">
        <f>IF(Table1[[#This Row],[Attrition]]="Yes",1,0)</f>
        <v>0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3">
      <c r="A1346">
        <v>37</v>
      </c>
      <c r="B1346" t="s">
        <v>43</v>
      </c>
      <c r="C1346">
        <f>IF(Table1[[#This Row],[Attrition]]="Yes",1,0)</f>
        <v>0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3">
      <c r="A1347">
        <v>35</v>
      </c>
      <c r="B1347" t="s">
        <v>43</v>
      </c>
      <c r="C1347">
        <f>IF(Table1[[#This Row],[Attrition]]="Yes",1,0)</f>
        <v>0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3">
      <c r="A1348">
        <v>45</v>
      </c>
      <c r="B1348" t="s">
        <v>43</v>
      </c>
      <c r="C1348">
        <f>IF(Table1[[#This Row],[Attrition]]="Yes",1,0)</f>
        <v>0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3">
      <c r="A1349">
        <v>36</v>
      </c>
      <c r="B1349" t="s">
        <v>43</v>
      </c>
      <c r="C1349">
        <f>IF(Table1[[#This Row],[Attrition]]="Yes",1,0)</f>
        <v>0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3">
      <c r="A1350">
        <v>40</v>
      </c>
      <c r="B1350" t="s">
        <v>43</v>
      </c>
      <c r="C1350">
        <f>IF(Table1[[#This Row],[Attrition]]="Yes",1,0)</f>
        <v>0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3">
      <c r="A1351">
        <v>26</v>
      </c>
      <c r="B1351" t="s">
        <v>43</v>
      </c>
      <c r="C1351">
        <f>IF(Table1[[#This Row],[Attrition]]="Yes",1,0)</f>
        <v>0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3">
      <c r="A1352">
        <v>27</v>
      </c>
      <c r="B1352" t="s">
        <v>43</v>
      </c>
      <c r="C1352">
        <f>IF(Table1[[#This Row],[Attrition]]="Yes",1,0)</f>
        <v>0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3">
      <c r="A1353">
        <v>48</v>
      </c>
      <c r="B1353" t="s">
        <v>43</v>
      </c>
      <c r="C1353">
        <f>IF(Table1[[#This Row],[Attrition]]="Yes",1,0)</f>
        <v>0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3">
      <c r="A1354">
        <v>44</v>
      </c>
      <c r="B1354" t="s">
        <v>43</v>
      </c>
      <c r="C1354">
        <f>IF(Table1[[#This Row],[Attrition]]="Yes",1,0)</f>
        <v>0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3">
      <c r="A1355">
        <v>34</v>
      </c>
      <c r="B1355" t="s">
        <v>35</v>
      </c>
      <c r="C1355">
        <f>IF(Table1[[#This Row],[Attrition]]="Yes",1,0)</f>
        <v>1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3">
      <c r="A1356">
        <v>56</v>
      </c>
      <c r="B1356" t="s">
        <v>35</v>
      </c>
      <c r="C1356">
        <f>IF(Table1[[#This Row],[Attrition]]="Yes",1,0)</f>
        <v>1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3">
      <c r="A1357">
        <v>36</v>
      </c>
      <c r="B1357" t="s">
        <v>43</v>
      </c>
      <c r="C1357">
        <f>IF(Table1[[#This Row],[Attrition]]="Yes",1,0)</f>
        <v>0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3">
      <c r="A1358">
        <v>41</v>
      </c>
      <c r="B1358" t="s">
        <v>43</v>
      </c>
      <c r="C1358">
        <f>IF(Table1[[#This Row],[Attrition]]="Yes",1,0)</f>
        <v>0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3">
      <c r="A1359">
        <v>42</v>
      </c>
      <c r="B1359" t="s">
        <v>43</v>
      </c>
      <c r="C1359">
        <f>IF(Table1[[#This Row],[Attrition]]="Yes",1,0)</f>
        <v>0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3">
      <c r="A1360">
        <v>31</v>
      </c>
      <c r="B1360" t="s">
        <v>43</v>
      </c>
      <c r="C1360">
        <f>IF(Table1[[#This Row],[Attrition]]="Yes",1,0)</f>
        <v>0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3">
      <c r="A1361">
        <v>34</v>
      </c>
      <c r="B1361" t="s">
        <v>43</v>
      </c>
      <c r="C1361">
        <f>IF(Table1[[#This Row],[Attrition]]="Yes",1,0)</f>
        <v>0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3">
      <c r="A1362">
        <v>31</v>
      </c>
      <c r="B1362" t="s">
        <v>43</v>
      </c>
      <c r="C1362">
        <f>IF(Table1[[#This Row],[Attrition]]="Yes",1,0)</f>
        <v>0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3">
      <c r="A1363">
        <v>26</v>
      </c>
      <c r="B1363" t="s">
        <v>43</v>
      </c>
      <c r="C1363">
        <f>IF(Table1[[#This Row],[Attrition]]="Yes",1,0)</f>
        <v>0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3">
      <c r="A1364">
        <v>45</v>
      </c>
      <c r="B1364" t="s">
        <v>43</v>
      </c>
      <c r="C1364">
        <f>IF(Table1[[#This Row],[Attrition]]="Yes",1,0)</f>
        <v>0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3">
      <c r="A1365">
        <v>33</v>
      </c>
      <c r="B1365" t="s">
        <v>43</v>
      </c>
      <c r="C1365">
        <f>IF(Table1[[#This Row],[Attrition]]="Yes",1,0)</f>
        <v>0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3">
      <c r="A1366">
        <v>28</v>
      </c>
      <c r="B1366" t="s">
        <v>43</v>
      </c>
      <c r="C1366">
        <f>IF(Table1[[#This Row],[Attrition]]="Yes",1,0)</f>
        <v>0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3">
      <c r="A1367">
        <v>29</v>
      </c>
      <c r="B1367" t="s">
        <v>35</v>
      </c>
      <c r="C1367">
        <f>IF(Table1[[#This Row],[Attrition]]="Yes",1,0)</f>
        <v>1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3">
      <c r="A1368">
        <v>39</v>
      </c>
      <c r="B1368" t="s">
        <v>43</v>
      </c>
      <c r="C1368">
        <f>IF(Table1[[#This Row],[Attrition]]="Yes",1,0)</f>
        <v>0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3">
      <c r="A1369">
        <v>27</v>
      </c>
      <c r="B1369" t="s">
        <v>43</v>
      </c>
      <c r="C1369">
        <f>IF(Table1[[#This Row],[Attrition]]="Yes",1,0)</f>
        <v>0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3">
      <c r="A1370">
        <v>34</v>
      </c>
      <c r="B1370" t="s">
        <v>43</v>
      </c>
      <c r="C1370">
        <f>IF(Table1[[#This Row],[Attrition]]="Yes",1,0)</f>
        <v>0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3">
      <c r="A1371">
        <v>28</v>
      </c>
      <c r="B1371" t="s">
        <v>35</v>
      </c>
      <c r="C1371">
        <f>IF(Table1[[#This Row],[Attrition]]="Yes",1,0)</f>
        <v>1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3">
      <c r="A1372">
        <v>47</v>
      </c>
      <c r="B1372" t="s">
        <v>43</v>
      </c>
      <c r="C1372">
        <f>IF(Table1[[#This Row],[Attrition]]="Yes",1,0)</f>
        <v>0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3">
      <c r="A1373">
        <v>56</v>
      </c>
      <c r="B1373" t="s">
        <v>43</v>
      </c>
      <c r="C1373">
        <f>IF(Table1[[#This Row],[Attrition]]="Yes",1,0)</f>
        <v>0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t="s">
        <v>43</v>
      </c>
      <c r="C1374">
        <f>IF(Table1[[#This Row],[Attrition]]="Yes",1,0)</f>
        <v>0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3">
      <c r="A1375">
        <v>38</v>
      </c>
      <c r="B1375" t="s">
        <v>43</v>
      </c>
      <c r="C1375">
        <f>IF(Table1[[#This Row],[Attrition]]="Yes",1,0)</f>
        <v>0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3">
      <c r="A1376">
        <v>58</v>
      </c>
      <c r="B1376" t="s">
        <v>43</v>
      </c>
      <c r="C1376">
        <f>IF(Table1[[#This Row],[Attrition]]="Yes",1,0)</f>
        <v>0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t="s">
        <v>35</v>
      </c>
      <c r="C1377">
        <f>IF(Table1[[#This Row],[Attrition]]="Yes",1,0)</f>
        <v>1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3">
      <c r="A1378">
        <v>38</v>
      </c>
      <c r="B1378" t="s">
        <v>43</v>
      </c>
      <c r="C1378">
        <f>IF(Table1[[#This Row],[Attrition]]="Yes",1,0)</f>
        <v>0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3">
      <c r="A1379">
        <v>49</v>
      </c>
      <c r="B1379" t="s">
        <v>43</v>
      </c>
      <c r="C1379">
        <f>IF(Table1[[#This Row],[Attrition]]="Yes",1,0)</f>
        <v>0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3">
      <c r="A1380">
        <v>42</v>
      </c>
      <c r="B1380" t="s">
        <v>43</v>
      </c>
      <c r="C1380">
        <f>IF(Table1[[#This Row],[Attrition]]="Yes",1,0)</f>
        <v>0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t="s">
        <v>35</v>
      </c>
      <c r="C1381">
        <f>IF(Table1[[#This Row],[Attrition]]="Yes",1,0)</f>
        <v>1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3">
      <c r="A1382">
        <v>35</v>
      </c>
      <c r="B1382" t="s">
        <v>43</v>
      </c>
      <c r="C1382">
        <f>IF(Table1[[#This Row],[Attrition]]="Yes",1,0)</f>
        <v>0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3">
      <c r="A1383">
        <v>28</v>
      </c>
      <c r="B1383" t="s">
        <v>43</v>
      </c>
      <c r="C1383">
        <f>IF(Table1[[#This Row],[Attrition]]="Yes",1,0)</f>
        <v>0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3">
      <c r="A1384">
        <v>31</v>
      </c>
      <c r="B1384" t="s">
        <v>43</v>
      </c>
      <c r="C1384">
        <f>IF(Table1[[#This Row],[Attrition]]="Yes",1,0)</f>
        <v>0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3">
      <c r="A1385">
        <v>36</v>
      </c>
      <c r="B1385" t="s">
        <v>43</v>
      </c>
      <c r="C1385">
        <f>IF(Table1[[#This Row],[Attrition]]="Yes",1,0)</f>
        <v>0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3">
      <c r="A1386">
        <v>34</v>
      </c>
      <c r="B1386" t="s">
        <v>43</v>
      </c>
      <c r="C1386">
        <f>IF(Table1[[#This Row],[Attrition]]="Yes",1,0)</f>
        <v>0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3">
      <c r="A1387">
        <v>34</v>
      </c>
      <c r="B1387" t="s">
        <v>43</v>
      </c>
      <c r="C1387">
        <f>IF(Table1[[#This Row],[Attrition]]="Yes",1,0)</f>
        <v>0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3">
      <c r="A1388">
        <v>26</v>
      </c>
      <c r="B1388" t="s">
        <v>43</v>
      </c>
      <c r="C1388">
        <f>IF(Table1[[#This Row],[Attrition]]="Yes",1,0)</f>
        <v>0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3">
      <c r="A1389">
        <v>29</v>
      </c>
      <c r="B1389" t="s">
        <v>43</v>
      </c>
      <c r="C1389">
        <f>IF(Table1[[#This Row],[Attrition]]="Yes",1,0)</f>
        <v>0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3">
      <c r="A1390">
        <v>32</v>
      </c>
      <c r="B1390" t="s">
        <v>43</v>
      </c>
      <c r="C1390">
        <f>IF(Table1[[#This Row],[Attrition]]="Yes",1,0)</f>
        <v>0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3">
      <c r="A1391">
        <v>31</v>
      </c>
      <c r="B1391" t="s">
        <v>43</v>
      </c>
      <c r="C1391">
        <f>IF(Table1[[#This Row],[Attrition]]="Yes",1,0)</f>
        <v>0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3">
      <c r="A1392">
        <v>28</v>
      </c>
      <c r="B1392" t="s">
        <v>35</v>
      </c>
      <c r="C1392">
        <f>IF(Table1[[#This Row],[Attrition]]="Yes",1,0)</f>
        <v>1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3">
      <c r="A1393">
        <v>38</v>
      </c>
      <c r="B1393" t="s">
        <v>43</v>
      </c>
      <c r="C1393">
        <f>IF(Table1[[#This Row],[Attrition]]="Yes",1,0)</f>
        <v>0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t="s">
        <v>43</v>
      </c>
      <c r="C1394">
        <f>IF(Table1[[#This Row],[Attrition]]="Yes",1,0)</f>
        <v>0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3">
      <c r="A1395">
        <v>27</v>
      </c>
      <c r="B1395" t="s">
        <v>43</v>
      </c>
      <c r="C1395">
        <f>IF(Table1[[#This Row],[Attrition]]="Yes",1,0)</f>
        <v>0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3">
      <c r="A1396">
        <v>32</v>
      </c>
      <c r="B1396" t="s">
        <v>43</v>
      </c>
      <c r="C1396">
        <f>IF(Table1[[#This Row],[Attrition]]="Yes",1,0)</f>
        <v>0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t="s">
        <v>35</v>
      </c>
      <c r="C1397">
        <f>IF(Table1[[#This Row],[Attrition]]="Yes",1,0)</f>
        <v>1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3">
      <c r="A1398">
        <v>53</v>
      </c>
      <c r="B1398" t="s">
        <v>35</v>
      </c>
      <c r="C1398">
        <f>IF(Table1[[#This Row],[Attrition]]="Yes",1,0)</f>
        <v>1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3">
      <c r="A1399">
        <v>54</v>
      </c>
      <c r="B1399" t="s">
        <v>43</v>
      </c>
      <c r="C1399">
        <f>IF(Table1[[#This Row],[Attrition]]="Yes",1,0)</f>
        <v>0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3">
      <c r="A1400">
        <v>33</v>
      </c>
      <c r="B1400" t="s">
        <v>43</v>
      </c>
      <c r="C1400">
        <f>IF(Table1[[#This Row],[Attrition]]="Yes",1,0)</f>
        <v>0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3">
      <c r="A1401">
        <v>43</v>
      </c>
      <c r="B1401" t="s">
        <v>43</v>
      </c>
      <c r="C1401">
        <f>IF(Table1[[#This Row],[Attrition]]="Yes",1,0)</f>
        <v>0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3">
      <c r="A1402">
        <v>38</v>
      </c>
      <c r="B1402" t="s">
        <v>43</v>
      </c>
      <c r="C1402">
        <f>IF(Table1[[#This Row],[Attrition]]="Yes",1,0)</f>
        <v>0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3">
      <c r="A1403">
        <v>55</v>
      </c>
      <c r="B1403" t="s">
        <v>43</v>
      </c>
      <c r="C1403">
        <f>IF(Table1[[#This Row],[Attrition]]="Yes",1,0)</f>
        <v>0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3">
      <c r="A1404">
        <v>31</v>
      </c>
      <c r="B1404" t="s">
        <v>43</v>
      </c>
      <c r="C1404">
        <f>IF(Table1[[#This Row],[Attrition]]="Yes",1,0)</f>
        <v>0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t="s">
        <v>43</v>
      </c>
      <c r="C1405">
        <f>IF(Table1[[#This Row],[Attrition]]="Yes",1,0)</f>
        <v>0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3">
      <c r="A1406">
        <v>42</v>
      </c>
      <c r="B1406" t="s">
        <v>43</v>
      </c>
      <c r="C1406">
        <f>IF(Table1[[#This Row],[Attrition]]="Yes",1,0)</f>
        <v>0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3">
      <c r="A1407">
        <v>31</v>
      </c>
      <c r="B1407" t="s">
        <v>43</v>
      </c>
      <c r="C1407">
        <f>IF(Table1[[#This Row],[Attrition]]="Yes",1,0)</f>
        <v>0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3">
      <c r="A1408">
        <v>54</v>
      </c>
      <c r="B1408" t="s">
        <v>43</v>
      </c>
      <c r="C1408">
        <f>IF(Table1[[#This Row],[Attrition]]="Yes",1,0)</f>
        <v>0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3">
      <c r="A1409">
        <v>24</v>
      </c>
      <c r="B1409" t="s">
        <v>43</v>
      </c>
      <c r="C1409">
        <f>IF(Table1[[#This Row],[Attrition]]="Yes",1,0)</f>
        <v>0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3">
      <c r="A1410">
        <v>23</v>
      </c>
      <c r="B1410" t="s">
        <v>43</v>
      </c>
      <c r="C1410">
        <f>IF(Table1[[#This Row],[Attrition]]="Yes",1,0)</f>
        <v>0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3">
      <c r="A1411">
        <v>40</v>
      </c>
      <c r="B1411" t="s">
        <v>43</v>
      </c>
      <c r="C1411">
        <f>IF(Table1[[#This Row],[Attrition]]="Yes",1,0)</f>
        <v>0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3">
      <c r="A1412">
        <v>40</v>
      </c>
      <c r="B1412" t="s">
        <v>43</v>
      </c>
      <c r="C1412">
        <f>IF(Table1[[#This Row],[Attrition]]="Yes",1,0)</f>
        <v>0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3">
      <c r="A1413">
        <v>25</v>
      </c>
      <c r="B1413" t="s">
        <v>43</v>
      </c>
      <c r="C1413">
        <f>IF(Table1[[#This Row],[Attrition]]="Yes",1,0)</f>
        <v>0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3">
      <c r="A1414">
        <v>30</v>
      </c>
      <c r="B1414" t="s">
        <v>43</v>
      </c>
      <c r="C1414">
        <f>IF(Table1[[#This Row],[Attrition]]="Yes",1,0)</f>
        <v>0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3">
      <c r="A1415">
        <v>25</v>
      </c>
      <c r="B1415" t="s">
        <v>43</v>
      </c>
      <c r="C1415">
        <f>IF(Table1[[#This Row],[Attrition]]="Yes",1,0)</f>
        <v>0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3">
      <c r="A1416">
        <v>47</v>
      </c>
      <c r="B1416" t="s">
        <v>43</v>
      </c>
      <c r="C1416">
        <f>IF(Table1[[#This Row],[Attrition]]="Yes",1,0)</f>
        <v>0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3">
      <c r="A1417">
        <v>33</v>
      </c>
      <c r="B1417" t="s">
        <v>43</v>
      </c>
      <c r="C1417">
        <f>IF(Table1[[#This Row],[Attrition]]="Yes",1,0)</f>
        <v>0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3">
      <c r="A1418">
        <v>38</v>
      </c>
      <c r="B1418" t="s">
        <v>43</v>
      </c>
      <c r="C1418">
        <f>IF(Table1[[#This Row],[Attrition]]="Yes",1,0)</f>
        <v>0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3">
      <c r="A1419">
        <v>31</v>
      </c>
      <c r="B1419" t="s">
        <v>43</v>
      </c>
      <c r="C1419">
        <f>IF(Table1[[#This Row],[Attrition]]="Yes",1,0)</f>
        <v>0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3">
      <c r="A1420">
        <v>38</v>
      </c>
      <c r="B1420" t="s">
        <v>43</v>
      </c>
      <c r="C1420">
        <f>IF(Table1[[#This Row],[Attrition]]="Yes",1,0)</f>
        <v>0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3">
      <c r="A1421">
        <v>42</v>
      </c>
      <c r="B1421" t="s">
        <v>43</v>
      </c>
      <c r="C1421">
        <f>IF(Table1[[#This Row],[Attrition]]="Yes",1,0)</f>
        <v>0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3">
      <c r="A1422">
        <v>41</v>
      </c>
      <c r="B1422" t="s">
        <v>43</v>
      </c>
      <c r="C1422">
        <f>IF(Table1[[#This Row],[Attrition]]="Yes",1,0)</f>
        <v>0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3">
      <c r="A1423">
        <v>47</v>
      </c>
      <c r="B1423" t="s">
        <v>43</v>
      </c>
      <c r="C1423">
        <f>IF(Table1[[#This Row],[Attrition]]="Yes",1,0)</f>
        <v>0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3">
      <c r="A1424">
        <v>35</v>
      </c>
      <c r="B1424" t="s">
        <v>43</v>
      </c>
      <c r="C1424">
        <f>IF(Table1[[#This Row],[Attrition]]="Yes",1,0)</f>
        <v>0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3">
      <c r="A1425">
        <v>22</v>
      </c>
      <c r="B1425" t="s">
        <v>43</v>
      </c>
      <c r="C1425">
        <f>IF(Table1[[#This Row],[Attrition]]="Yes",1,0)</f>
        <v>0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3">
      <c r="A1426">
        <v>35</v>
      </c>
      <c r="B1426" t="s">
        <v>43</v>
      </c>
      <c r="C1426">
        <f>IF(Table1[[#This Row],[Attrition]]="Yes",1,0)</f>
        <v>0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3">
      <c r="A1427">
        <v>33</v>
      </c>
      <c r="B1427" t="s">
        <v>43</v>
      </c>
      <c r="C1427">
        <f>IF(Table1[[#This Row],[Attrition]]="Yes",1,0)</f>
        <v>0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3">
      <c r="A1428">
        <v>32</v>
      </c>
      <c r="B1428" t="s">
        <v>43</v>
      </c>
      <c r="C1428">
        <f>IF(Table1[[#This Row],[Attrition]]="Yes",1,0)</f>
        <v>0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3">
      <c r="A1429">
        <v>40</v>
      </c>
      <c r="B1429" t="s">
        <v>43</v>
      </c>
      <c r="C1429">
        <f>IF(Table1[[#This Row],[Attrition]]="Yes",1,0)</f>
        <v>0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t="s">
        <v>43</v>
      </c>
      <c r="C1430">
        <f>IF(Table1[[#This Row],[Attrition]]="Yes",1,0)</f>
        <v>0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3">
      <c r="A1431">
        <v>39</v>
      </c>
      <c r="B1431" t="s">
        <v>43</v>
      </c>
      <c r="C1431">
        <f>IF(Table1[[#This Row],[Attrition]]="Yes",1,0)</f>
        <v>0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3">
      <c r="A1432">
        <v>38</v>
      </c>
      <c r="B1432" t="s">
        <v>43</v>
      </c>
      <c r="C1432">
        <f>IF(Table1[[#This Row],[Attrition]]="Yes",1,0)</f>
        <v>0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3">
      <c r="A1433">
        <v>32</v>
      </c>
      <c r="B1433" t="s">
        <v>43</v>
      </c>
      <c r="C1433">
        <f>IF(Table1[[#This Row],[Attrition]]="Yes",1,0)</f>
        <v>0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3">
      <c r="A1434">
        <v>37</v>
      </c>
      <c r="B1434" t="s">
        <v>43</v>
      </c>
      <c r="C1434">
        <f>IF(Table1[[#This Row],[Attrition]]="Yes",1,0)</f>
        <v>0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3">
      <c r="A1435">
        <v>25</v>
      </c>
      <c r="B1435" t="s">
        <v>43</v>
      </c>
      <c r="C1435">
        <f>IF(Table1[[#This Row],[Attrition]]="Yes",1,0)</f>
        <v>0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3">
      <c r="A1436">
        <v>52</v>
      </c>
      <c r="B1436" t="s">
        <v>43</v>
      </c>
      <c r="C1436">
        <f>IF(Table1[[#This Row],[Attrition]]="Yes",1,0)</f>
        <v>0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3">
      <c r="A1437">
        <v>44</v>
      </c>
      <c r="B1437" t="s">
        <v>43</v>
      </c>
      <c r="C1437">
        <f>IF(Table1[[#This Row],[Attrition]]="Yes",1,0)</f>
        <v>0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3">
      <c r="A1438">
        <v>21</v>
      </c>
      <c r="B1438" t="s">
        <v>43</v>
      </c>
      <c r="C1438">
        <f>IF(Table1[[#This Row],[Attrition]]="Yes",1,0)</f>
        <v>0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3">
      <c r="A1439">
        <v>39</v>
      </c>
      <c r="B1439" t="s">
        <v>43</v>
      </c>
      <c r="C1439">
        <f>IF(Table1[[#This Row],[Attrition]]="Yes",1,0)</f>
        <v>0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3">
      <c r="A1440">
        <v>23</v>
      </c>
      <c r="B1440" t="s">
        <v>35</v>
      </c>
      <c r="C1440">
        <f>IF(Table1[[#This Row],[Attrition]]="Yes",1,0)</f>
        <v>1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3">
      <c r="A1441">
        <v>36</v>
      </c>
      <c r="B1441" t="s">
        <v>43</v>
      </c>
      <c r="C1441">
        <f>IF(Table1[[#This Row],[Attrition]]="Yes",1,0)</f>
        <v>0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3">
      <c r="A1442">
        <v>36</v>
      </c>
      <c r="B1442" t="s">
        <v>43</v>
      </c>
      <c r="C1442">
        <f>IF(Table1[[#This Row],[Attrition]]="Yes",1,0)</f>
        <v>0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3">
      <c r="A1443">
        <v>56</v>
      </c>
      <c r="B1443" t="s">
        <v>43</v>
      </c>
      <c r="C1443">
        <f>IF(Table1[[#This Row],[Attrition]]="Yes",1,0)</f>
        <v>0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3">
      <c r="A1444">
        <v>29</v>
      </c>
      <c r="B1444" t="s">
        <v>35</v>
      </c>
      <c r="C1444">
        <f>IF(Table1[[#This Row],[Attrition]]="Yes",1,0)</f>
        <v>1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3">
      <c r="A1445">
        <v>42</v>
      </c>
      <c r="B1445" t="s">
        <v>43</v>
      </c>
      <c r="C1445">
        <f>IF(Table1[[#This Row],[Attrition]]="Yes",1,0)</f>
        <v>0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3">
      <c r="A1446">
        <v>56</v>
      </c>
      <c r="B1446" t="s">
        <v>35</v>
      </c>
      <c r="C1446">
        <f>IF(Table1[[#This Row],[Attrition]]="Yes",1,0)</f>
        <v>1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3">
      <c r="A1447">
        <v>41</v>
      </c>
      <c r="B1447" t="s">
        <v>43</v>
      </c>
      <c r="C1447">
        <f>IF(Table1[[#This Row],[Attrition]]="Yes",1,0)</f>
        <v>0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3">
      <c r="A1448">
        <v>34</v>
      </c>
      <c r="B1448" t="s">
        <v>43</v>
      </c>
      <c r="C1448">
        <f>IF(Table1[[#This Row],[Attrition]]="Yes",1,0)</f>
        <v>0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3">
      <c r="A1449">
        <v>36</v>
      </c>
      <c r="B1449" t="s">
        <v>43</v>
      </c>
      <c r="C1449">
        <f>IF(Table1[[#This Row],[Attrition]]="Yes",1,0)</f>
        <v>0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3">
      <c r="A1450">
        <v>41</v>
      </c>
      <c r="B1450" t="s">
        <v>43</v>
      </c>
      <c r="C1450">
        <f>IF(Table1[[#This Row],[Attrition]]="Yes",1,0)</f>
        <v>0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3">
      <c r="A1451">
        <v>32</v>
      </c>
      <c r="B1451" t="s">
        <v>43</v>
      </c>
      <c r="C1451">
        <f>IF(Table1[[#This Row],[Attrition]]="Yes",1,0)</f>
        <v>0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3">
      <c r="A1452">
        <v>35</v>
      </c>
      <c r="B1452" t="s">
        <v>43</v>
      </c>
      <c r="C1452">
        <f>IF(Table1[[#This Row],[Attrition]]="Yes",1,0)</f>
        <v>0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3">
      <c r="A1453">
        <v>38</v>
      </c>
      <c r="B1453" t="s">
        <v>43</v>
      </c>
      <c r="C1453">
        <f>IF(Table1[[#This Row],[Attrition]]="Yes",1,0)</f>
        <v>0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3">
      <c r="A1454">
        <v>50</v>
      </c>
      <c r="B1454" t="s">
        <v>35</v>
      </c>
      <c r="C1454">
        <f>IF(Table1[[#This Row],[Attrition]]="Yes",1,0)</f>
        <v>1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3">
      <c r="A1455">
        <v>36</v>
      </c>
      <c r="B1455" t="s">
        <v>43</v>
      </c>
      <c r="C1455">
        <f>IF(Table1[[#This Row],[Attrition]]="Yes",1,0)</f>
        <v>0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3">
      <c r="A1456">
        <v>45</v>
      </c>
      <c r="B1456" t="s">
        <v>43</v>
      </c>
      <c r="C1456">
        <f>IF(Table1[[#This Row],[Attrition]]="Yes",1,0)</f>
        <v>0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3">
      <c r="A1457">
        <v>40</v>
      </c>
      <c r="B1457" t="s">
        <v>43</v>
      </c>
      <c r="C1457">
        <f>IF(Table1[[#This Row],[Attrition]]="Yes",1,0)</f>
        <v>0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3">
      <c r="A1458">
        <v>35</v>
      </c>
      <c r="B1458" t="s">
        <v>43</v>
      </c>
      <c r="C1458">
        <f>IF(Table1[[#This Row],[Attrition]]="Yes",1,0)</f>
        <v>0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3">
      <c r="A1459">
        <v>40</v>
      </c>
      <c r="B1459" t="s">
        <v>43</v>
      </c>
      <c r="C1459">
        <f>IF(Table1[[#This Row],[Attrition]]="Yes",1,0)</f>
        <v>0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3">
      <c r="A1460">
        <v>35</v>
      </c>
      <c r="B1460" t="s">
        <v>43</v>
      </c>
      <c r="C1460">
        <f>IF(Table1[[#This Row],[Attrition]]="Yes",1,0)</f>
        <v>0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3">
      <c r="A1461">
        <v>29</v>
      </c>
      <c r="B1461" t="s">
        <v>43</v>
      </c>
      <c r="C1461">
        <f>IF(Table1[[#This Row],[Attrition]]="Yes",1,0)</f>
        <v>0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3">
      <c r="A1462">
        <v>29</v>
      </c>
      <c r="B1462" t="s">
        <v>43</v>
      </c>
      <c r="C1462">
        <f>IF(Table1[[#This Row],[Attrition]]="Yes",1,0)</f>
        <v>0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3">
      <c r="A1463">
        <v>50</v>
      </c>
      <c r="B1463" t="s">
        <v>35</v>
      </c>
      <c r="C1463">
        <f>IF(Table1[[#This Row],[Attrition]]="Yes",1,0)</f>
        <v>1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3">
      <c r="A1464">
        <v>39</v>
      </c>
      <c r="B1464" t="s">
        <v>43</v>
      </c>
      <c r="C1464">
        <f>IF(Table1[[#This Row],[Attrition]]="Yes",1,0)</f>
        <v>0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3">
      <c r="A1465">
        <v>31</v>
      </c>
      <c r="B1465" t="s">
        <v>43</v>
      </c>
      <c r="C1465">
        <f>IF(Table1[[#This Row],[Attrition]]="Yes",1,0)</f>
        <v>0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3">
      <c r="A1466">
        <v>26</v>
      </c>
      <c r="B1466" t="s">
        <v>43</v>
      </c>
      <c r="C1466">
        <f>IF(Table1[[#This Row],[Attrition]]="Yes",1,0)</f>
        <v>0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3">
      <c r="A1467">
        <v>36</v>
      </c>
      <c r="B1467" t="s">
        <v>43</v>
      </c>
      <c r="C1467">
        <f>IF(Table1[[#This Row],[Attrition]]="Yes",1,0)</f>
        <v>0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3">
      <c r="A1468">
        <v>39</v>
      </c>
      <c r="B1468" t="s">
        <v>43</v>
      </c>
      <c r="C1468">
        <f>IF(Table1[[#This Row],[Attrition]]="Yes",1,0)</f>
        <v>0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3">
      <c r="A1469">
        <v>27</v>
      </c>
      <c r="B1469" t="s">
        <v>43</v>
      </c>
      <c r="C1469">
        <f>IF(Table1[[#This Row],[Attrition]]="Yes",1,0)</f>
        <v>0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3">
      <c r="A1470">
        <v>49</v>
      </c>
      <c r="B1470" t="s">
        <v>43</v>
      </c>
      <c r="C1470">
        <f>IF(Table1[[#This Row],[Attrition]]="Yes",1,0)</f>
        <v>0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3">
      <c r="A1471">
        <v>34</v>
      </c>
      <c r="B1471" t="s">
        <v>43</v>
      </c>
      <c r="C1471">
        <f>IF(Table1[[#This Row],[Attrition]]="Yes",1,0)</f>
        <v>0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7144-1B89-4AD5-80E2-9D60C75CD3A5}">
  <dimension ref="A1:T40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42.21875" bestFit="1" customWidth="1"/>
    <col min="2" max="2" width="10.5546875" bestFit="1" customWidth="1"/>
  </cols>
  <sheetData>
    <row r="1" spans="1:20" ht="14.4" customHeight="1" x14ac:dyDescent="0.3">
      <c r="A1" s="14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spans="1:20" ht="14.4" customHeight="1" x14ac:dyDescent="0.3">
      <c r="A4" s="16" t="s">
        <v>64</v>
      </c>
      <c r="B4" s="16"/>
      <c r="C4" s="16"/>
      <c r="D4" s="16"/>
    </row>
    <row r="5" spans="1:20" x14ac:dyDescent="0.3">
      <c r="A5" s="16"/>
      <c r="B5" s="16"/>
      <c r="C5" s="16"/>
      <c r="D5" s="16"/>
    </row>
    <row r="6" spans="1:20" ht="14.4" customHeight="1" x14ac:dyDescent="0.3">
      <c r="A6" s="15" t="s">
        <v>65</v>
      </c>
      <c r="B6" s="15"/>
      <c r="C6" s="15"/>
    </row>
    <row r="7" spans="1:20" x14ac:dyDescent="0.3">
      <c r="A7" s="15"/>
      <c r="B7" s="15"/>
      <c r="C7" s="15"/>
    </row>
    <row r="8" spans="1:20" x14ac:dyDescent="0.3">
      <c r="A8" s="2" t="s">
        <v>66</v>
      </c>
      <c r="B8" s="2" t="s">
        <v>67</v>
      </c>
    </row>
    <row r="9" spans="1:20" x14ac:dyDescent="0.3">
      <c r="A9" t="s">
        <v>68</v>
      </c>
      <c r="B9">
        <f>COUNTIF('Adecco HR Analytics'!B:B,"Yes")</f>
        <v>237</v>
      </c>
    </row>
    <row r="10" spans="1:20" x14ac:dyDescent="0.3">
      <c r="A10" t="s">
        <v>69</v>
      </c>
      <c r="B10">
        <f>COUNTA(Table1[Age])</f>
        <v>1470</v>
      </c>
    </row>
    <row r="11" spans="1:20" x14ac:dyDescent="0.3">
      <c r="A11" t="s">
        <v>70</v>
      </c>
      <c r="B11" s="1">
        <f>B9/B10</f>
        <v>0.16122448979591836</v>
      </c>
    </row>
    <row r="13" spans="1:20" x14ac:dyDescent="0.3">
      <c r="A13" s="12" t="s">
        <v>71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6" spans="1:20" x14ac:dyDescent="0.3">
      <c r="A16" s="15" t="s">
        <v>72</v>
      </c>
      <c r="B16" s="15"/>
      <c r="C16" s="15"/>
    </row>
    <row r="17" spans="1:5" x14ac:dyDescent="0.3">
      <c r="A17" s="15"/>
      <c r="B17" s="15"/>
      <c r="C17" s="15"/>
    </row>
    <row r="18" spans="1:5" x14ac:dyDescent="0.3">
      <c r="A18" s="2" t="s">
        <v>66</v>
      </c>
      <c r="B18" s="2" t="s">
        <v>67</v>
      </c>
    </row>
    <row r="19" spans="1:5" x14ac:dyDescent="0.3">
      <c r="A19" t="s">
        <v>73</v>
      </c>
      <c r="B19" s="10">
        <f>AVERAGEIF('Adecco HR Analytics'!B:B,"yes",'Adecco HR Analytics'!A:A)</f>
        <v>33.607594936708864</v>
      </c>
    </row>
    <row r="20" spans="1:5" x14ac:dyDescent="0.3">
      <c r="A20" t="s">
        <v>74</v>
      </c>
      <c r="B20" s="10">
        <f>AVERAGEIF('Adecco HR Analytics'!B:B,"Yes",'Adecco HR Analytics'!T:T)</f>
        <v>4787.0928270042195</v>
      </c>
    </row>
    <row r="21" spans="1:5" x14ac:dyDescent="0.3">
      <c r="A21" t="s">
        <v>75</v>
      </c>
      <c r="B21">
        <f>COUNTIF('Adecco HR Analytics'!X:X,"Yes")</f>
        <v>416</v>
      </c>
    </row>
    <row r="22" spans="1:5" x14ac:dyDescent="0.3">
      <c r="A22" t="s">
        <v>76</v>
      </c>
      <c r="B22" s="10">
        <f>AVERAGE('Adecco HR Analytics'!AG:AG)</f>
        <v>7.0081632653061225</v>
      </c>
    </row>
    <row r="25" spans="1:5" x14ac:dyDescent="0.3">
      <c r="A25" s="16" t="s">
        <v>77</v>
      </c>
      <c r="B25" s="16"/>
      <c r="C25" s="16"/>
      <c r="D25" s="16"/>
    </row>
    <row r="26" spans="1:5" x14ac:dyDescent="0.3">
      <c r="A26" s="16"/>
      <c r="B26" s="16"/>
      <c r="C26" s="16"/>
      <c r="D26" s="16"/>
    </row>
    <row r="27" spans="1:5" x14ac:dyDescent="0.3">
      <c r="A27" s="2" t="s">
        <v>66</v>
      </c>
      <c r="B27" s="2" t="s">
        <v>67</v>
      </c>
      <c r="C27" s="2" t="s">
        <v>78</v>
      </c>
    </row>
    <row r="28" spans="1:5" x14ac:dyDescent="0.3">
      <c r="A28" t="s">
        <v>79</v>
      </c>
    </row>
    <row r="29" spans="1:5" ht="14.4" customHeight="1" x14ac:dyDescent="0.3">
      <c r="A29" t="s">
        <v>80</v>
      </c>
      <c r="B29" s="9">
        <f>CORREL('Adecco HR Analytics'!A:A,'Adecco HR Analytics'!AJ:AJ)</f>
        <v>0.20208860237515219</v>
      </c>
      <c r="C29" s="13" t="s">
        <v>81</v>
      </c>
      <c r="D29" s="13"/>
      <c r="E29" s="13"/>
    </row>
    <row r="30" spans="1:5" x14ac:dyDescent="0.3">
      <c r="A30" t="s">
        <v>82</v>
      </c>
      <c r="B30" s="9">
        <f>CORREL('Adecco HR Analytics'!T:T,'Adecco HR Analytics'!AJ:AJ)</f>
        <v>0.34407888325872066</v>
      </c>
      <c r="C30" s="13"/>
      <c r="D30" s="13"/>
      <c r="E30" s="13"/>
    </row>
    <row r="31" spans="1:5" x14ac:dyDescent="0.3">
      <c r="A31" t="s">
        <v>83</v>
      </c>
      <c r="B31" s="9">
        <f>CORREL('Adecco HR Analytics'!AG:AG,'Adecco HR Analytics'!AJ:AJ)</f>
        <v>0.76921242510069898</v>
      </c>
      <c r="C31" s="13"/>
      <c r="D31" s="13"/>
      <c r="E31" s="13"/>
    </row>
    <row r="34" spans="1:13" x14ac:dyDescent="0.3">
      <c r="A34" s="16" t="s">
        <v>84</v>
      </c>
      <c r="B34" s="16"/>
      <c r="C34" s="16"/>
      <c r="D34" s="16"/>
    </row>
    <row r="35" spans="1:13" x14ac:dyDescent="0.3">
      <c r="A35" s="16"/>
      <c r="B35" s="16"/>
      <c r="C35" s="16"/>
      <c r="D35" s="16"/>
    </row>
    <row r="36" spans="1:13" x14ac:dyDescent="0.3">
      <c r="A36" s="12" t="s">
        <v>85</v>
      </c>
      <c r="B36" s="12"/>
      <c r="C36" s="12"/>
      <c r="D36" s="12"/>
      <c r="E36" s="12"/>
      <c r="F36" s="12"/>
      <c r="G36" s="12"/>
      <c r="H36" s="12"/>
      <c r="I36" s="12"/>
    </row>
    <row r="37" spans="1:13" x14ac:dyDescent="0.3">
      <c r="A37" s="12" t="s">
        <v>86</v>
      </c>
      <c r="B37" s="12"/>
      <c r="C37" s="12"/>
      <c r="D37" s="12"/>
      <c r="E37" s="12"/>
      <c r="F37" s="12"/>
      <c r="G37" s="12"/>
      <c r="H37" s="12"/>
    </row>
    <row r="38" spans="1:13" x14ac:dyDescent="0.3">
      <c r="A38" s="12" t="s">
        <v>87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3">
      <c r="A39" s="12" t="s">
        <v>107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3" x14ac:dyDescent="0.3">
      <c r="A40" s="12" t="s">
        <v>88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</sheetData>
  <mergeCells count="13">
    <mergeCell ref="A38:M38"/>
    <mergeCell ref="A39:L39"/>
    <mergeCell ref="A40:K40"/>
    <mergeCell ref="C29:E31"/>
    <mergeCell ref="A1:T2"/>
    <mergeCell ref="A13:K13"/>
    <mergeCell ref="A16:C17"/>
    <mergeCell ref="A25:D26"/>
    <mergeCell ref="A34:D35"/>
    <mergeCell ref="A36:I36"/>
    <mergeCell ref="A37:H37"/>
    <mergeCell ref="A4:D5"/>
    <mergeCell ref="A6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0564-757D-40F8-93DE-010B257DAF1A}">
  <dimension ref="A1:E95"/>
  <sheetViews>
    <sheetView workbookViewId="0">
      <selection activeCell="F2" sqref="F2"/>
    </sheetView>
  </sheetViews>
  <sheetFormatPr defaultRowHeight="14.4" x14ac:dyDescent="0.3"/>
  <cols>
    <col min="1" max="1" width="23.44140625" bestFit="1" customWidth="1"/>
    <col min="2" max="2" width="22.88671875" bestFit="1" customWidth="1"/>
    <col min="3" max="3" width="10" customWidth="1"/>
    <col min="4" max="4" width="10.5546875" bestFit="1" customWidth="1"/>
    <col min="5" max="5" width="12" bestFit="1" customWidth="1"/>
  </cols>
  <sheetData>
    <row r="1" spans="1:5" ht="14.4" customHeight="1" x14ac:dyDescent="0.3">
      <c r="A1" s="15" t="s">
        <v>89</v>
      </c>
      <c r="B1" s="15"/>
      <c r="C1" s="15"/>
      <c r="D1" s="15"/>
      <c r="E1" s="15"/>
    </row>
    <row r="2" spans="1:5" ht="14.4" customHeight="1" x14ac:dyDescent="0.3">
      <c r="A2" s="15"/>
      <c r="B2" s="15"/>
      <c r="C2" s="15"/>
      <c r="D2" s="15"/>
      <c r="E2" s="15"/>
    </row>
    <row r="4" spans="1:5" x14ac:dyDescent="0.3">
      <c r="A4" s="3" t="s">
        <v>91</v>
      </c>
      <c r="B4" s="3" t="s">
        <v>1</v>
      </c>
      <c r="E4" s="5"/>
    </row>
    <row r="5" spans="1:5" x14ac:dyDescent="0.3">
      <c r="A5" s="3" t="s">
        <v>4</v>
      </c>
      <c r="B5" t="s">
        <v>43</v>
      </c>
      <c r="C5" t="s">
        <v>35</v>
      </c>
      <c r="D5" t="s">
        <v>90</v>
      </c>
      <c r="E5" s="6" t="s">
        <v>92</v>
      </c>
    </row>
    <row r="6" spans="1:5" x14ac:dyDescent="0.3">
      <c r="A6" s="4" t="s">
        <v>61</v>
      </c>
      <c r="B6">
        <v>51</v>
      </c>
      <c r="C6">
        <v>12</v>
      </c>
      <c r="D6">
        <v>63</v>
      </c>
      <c r="E6" s="7">
        <f>GETPIVOTDATA("EmployeeNumber",$A$4,"Attrition","Yes","Department","Human Resources")/GETPIVOTDATA("EmployeeNumber",$A$4,"Department","Human Resources")</f>
        <v>0.19047619047619047</v>
      </c>
    </row>
    <row r="7" spans="1:5" x14ac:dyDescent="0.3">
      <c r="A7" s="4" t="s">
        <v>45</v>
      </c>
      <c r="B7">
        <v>828</v>
      </c>
      <c r="C7">
        <v>133</v>
      </c>
      <c r="D7">
        <v>961</v>
      </c>
      <c r="E7" s="7">
        <f>GETPIVOTDATA("EmployeeNumber",$A$4,"Attrition","Yes","Department","Research &amp; Development")/GETPIVOTDATA("EmployeeNumber",$A$4,"Department","Research &amp; Development")</f>
        <v>0.13839750260145681</v>
      </c>
    </row>
    <row r="8" spans="1:5" x14ac:dyDescent="0.3">
      <c r="A8" s="4" t="s">
        <v>37</v>
      </c>
      <c r="B8">
        <v>354</v>
      </c>
      <c r="C8">
        <v>92</v>
      </c>
      <c r="D8">
        <v>446</v>
      </c>
      <c r="E8" s="7">
        <f>GETPIVOTDATA("EmployeeNumber",$A$4,"Attrition","Yes","Department","Sales")/GETPIVOTDATA("EmployeeNumber",$A$4,"Department","Sales")</f>
        <v>0.20627802690582961</v>
      </c>
    </row>
    <row r="9" spans="1:5" x14ac:dyDescent="0.3">
      <c r="A9" s="4" t="s">
        <v>90</v>
      </c>
      <c r="B9">
        <v>1233</v>
      </c>
      <c r="C9">
        <v>237</v>
      </c>
      <c r="D9">
        <v>1470</v>
      </c>
      <c r="E9" s="8">
        <f>GETPIVOTDATA("EmployeeNumber",$A$4,"Attrition","Yes")/GETPIVOTDATA("EmployeeNumber",$A$4)</f>
        <v>0.16122448979591836</v>
      </c>
    </row>
    <row r="12" spans="1:5" x14ac:dyDescent="0.3">
      <c r="A12" s="15" t="s">
        <v>93</v>
      </c>
      <c r="B12" s="15"/>
      <c r="C12" s="15"/>
      <c r="D12" s="15"/>
      <c r="E12" s="15"/>
    </row>
    <row r="13" spans="1:5" x14ac:dyDescent="0.3">
      <c r="A13" s="15"/>
      <c r="B13" s="15"/>
      <c r="C13" s="15"/>
      <c r="D13" s="15"/>
      <c r="E13" s="15"/>
    </row>
    <row r="15" spans="1:5" x14ac:dyDescent="0.3">
      <c r="A15" s="3" t="s">
        <v>15</v>
      </c>
      <c r="B15" t="s">
        <v>94</v>
      </c>
    </row>
    <row r="16" spans="1:5" x14ac:dyDescent="0.3">
      <c r="A16" s="4" t="s">
        <v>54</v>
      </c>
      <c r="B16" s="9">
        <v>2.7862595419847329</v>
      </c>
    </row>
    <row r="17" spans="1:5" x14ac:dyDescent="0.3">
      <c r="A17" s="4" t="s">
        <v>47</v>
      </c>
      <c r="B17" s="9">
        <v>2.7739726027397262</v>
      </c>
    </row>
    <row r="18" spans="1:5" x14ac:dyDescent="0.3">
      <c r="A18" s="4" t="s">
        <v>40</v>
      </c>
      <c r="B18" s="9">
        <v>2.7546012269938651</v>
      </c>
    </row>
    <row r="19" spans="1:5" x14ac:dyDescent="0.3">
      <c r="A19" s="4" t="s">
        <v>57</v>
      </c>
      <c r="B19" s="9">
        <v>2.7349397590361444</v>
      </c>
    </row>
    <row r="20" spans="1:5" x14ac:dyDescent="0.3">
      <c r="A20" s="4" t="s">
        <v>56</v>
      </c>
      <c r="B20" s="9">
        <v>2.7058823529411766</v>
      </c>
    </row>
    <row r="21" spans="1:5" x14ac:dyDescent="0.3">
      <c r="A21" s="4" t="s">
        <v>58</v>
      </c>
      <c r="B21" s="9">
        <v>2.7</v>
      </c>
    </row>
    <row r="22" spans="1:5" x14ac:dyDescent="0.3">
      <c r="A22" s="4" t="s">
        <v>50</v>
      </c>
      <c r="B22" s="9">
        <v>2.6911196911196913</v>
      </c>
    </row>
    <row r="23" spans="1:5" x14ac:dyDescent="0.3">
      <c r="A23" s="4" t="s">
        <v>53</v>
      </c>
      <c r="B23" s="9">
        <v>2.682758620689655</v>
      </c>
    </row>
    <row r="24" spans="1:5" x14ac:dyDescent="0.3">
      <c r="A24" s="4" t="s">
        <v>61</v>
      </c>
      <c r="B24" s="9">
        <v>2.5576923076923075</v>
      </c>
    </row>
    <row r="25" spans="1:5" x14ac:dyDescent="0.3">
      <c r="A25" s="4" t="s">
        <v>90</v>
      </c>
      <c r="B25" s="9">
        <v>2.7285714285714286</v>
      </c>
    </row>
    <row r="28" spans="1:5" x14ac:dyDescent="0.3">
      <c r="A28" s="15" t="s">
        <v>95</v>
      </c>
      <c r="B28" s="15"/>
      <c r="C28" s="15"/>
      <c r="D28" s="15"/>
      <c r="E28" s="15"/>
    </row>
    <row r="29" spans="1:5" x14ac:dyDescent="0.3">
      <c r="A29" s="15"/>
      <c r="B29" s="15"/>
      <c r="C29" s="15"/>
      <c r="D29" s="15"/>
      <c r="E29" s="15"/>
    </row>
    <row r="31" spans="1:5" x14ac:dyDescent="0.3">
      <c r="A31" s="3" t="s">
        <v>91</v>
      </c>
      <c r="B31" s="3" t="s">
        <v>1</v>
      </c>
      <c r="E31" s="5"/>
    </row>
    <row r="32" spans="1:5" x14ac:dyDescent="0.3">
      <c r="A32" s="3" t="s">
        <v>11</v>
      </c>
      <c r="B32" t="s">
        <v>43</v>
      </c>
      <c r="C32" t="s">
        <v>35</v>
      </c>
      <c r="D32" t="s">
        <v>90</v>
      </c>
      <c r="E32" s="6" t="s">
        <v>92</v>
      </c>
    </row>
    <row r="33" spans="1:5" x14ac:dyDescent="0.3">
      <c r="A33" s="4" t="s">
        <v>39</v>
      </c>
      <c r="B33">
        <v>501</v>
      </c>
      <c r="C33">
        <v>87</v>
      </c>
      <c r="D33">
        <v>588</v>
      </c>
      <c r="E33" s="7">
        <f>GETPIVOTDATA("EmployeeNumber",$A$31,"Attrition","Yes","Gender","Female")/GETPIVOTDATA("EmployeeNumber",$A$31,"Gender","Female")</f>
        <v>0.14795918367346939</v>
      </c>
    </row>
    <row r="34" spans="1:5" x14ac:dyDescent="0.3">
      <c r="A34" s="4" t="s">
        <v>46</v>
      </c>
      <c r="B34">
        <v>732</v>
      </c>
      <c r="C34">
        <v>150</v>
      </c>
      <c r="D34">
        <v>882</v>
      </c>
      <c r="E34" s="7">
        <f>GETPIVOTDATA("EmployeeNumber",$A$31,"Attrition","Yes","Gender","Male")/GETPIVOTDATA("EmployeeNumber",$A$31,"Gender","Male")</f>
        <v>0.17006802721088435</v>
      </c>
    </row>
    <row r="35" spans="1:5" x14ac:dyDescent="0.3">
      <c r="A35" s="4" t="s">
        <v>90</v>
      </c>
      <c r="B35">
        <v>1233</v>
      </c>
      <c r="C35">
        <v>237</v>
      </c>
      <c r="D35">
        <v>1470</v>
      </c>
      <c r="E35" s="8">
        <f>GETPIVOTDATA("EmployeeNumber",$A$31,"Attrition","Yes")/GETPIVOTDATA("EmployeeNumber",$A$31)</f>
        <v>0.16122448979591836</v>
      </c>
    </row>
    <row r="38" spans="1:5" x14ac:dyDescent="0.3">
      <c r="A38" s="15" t="s">
        <v>98</v>
      </c>
      <c r="B38" s="15"/>
      <c r="C38" s="15"/>
      <c r="D38" s="15"/>
      <c r="E38" s="15"/>
    </row>
    <row r="39" spans="1:5" x14ac:dyDescent="0.3">
      <c r="A39" s="15"/>
      <c r="B39" s="15"/>
      <c r="C39" s="15"/>
      <c r="D39" s="15"/>
      <c r="E39" s="15"/>
    </row>
    <row r="41" spans="1:5" x14ac:dyDescent="0.3">
      <c r="A41" s="3" t="s">
        <v>91</v>
      </c>
      <c r="B41" s="3" t="s">
        <v>1</v>
      </c>
      <c r="E41" s="5"/>
    </row>
    <row r="42" spans="1:5" x14ac:dyDescent="0.3">
      <c r="A42" s="3" t="s">
        <v>13</v>
      </c>
      <c r="B42" t="s">
        <v>43</v>
      </c>
      <c r="C42" t="s">
        <v>35</v>
      </c>
      <c r="D42" t="s">
        <v>90</v>
      </c>
      <c r="E42" s="6" t="s">
        <v>92</v>
      </c>
    </row>
    <row r="43" spans="1:5" x14ac:dyDescent="0.3">
      <c r="A43" s="4">
        <v>1</v>
      </c>
      <c r="B43">
        <v>55</v>
      </c>
      <c r="C43">
        <v>28</v>
      </c>
      <c r="D43">
        <v>83</v>
      </c>
      <c r="E43" s="7">
        <f>GETPIVOTDATA("EmployeeNumber",$A$41,"Attrition","Yes","JobInvolvement",1)/GETPIVOTDATA("EmployeeNumber",$A$41,"JobInvolvement",1)</f>
        <v>0.33734939759036142</v>
      </c>
    </row>
    <row r="44" spans="1:5" x14ac:dyDescent="0.3">
      <c r="A44" s="4">
        <v>2</v>
      </c>
      <c r="B44">
        <v>304</v>
      </c>
      <c r="C44">
        <v>71</v>
      </c>
      <c r="D44">
        <v>375</v>
      </c>
      <c r="E44" s="7">
        <f>GETPIVOTDATA("EmployeeNumber",$A$41,"Attrition","Yes","JobInvolvement",2)/GETPIVOTDATA("EmployeeNumber",$A$41,"JobInvolvement",2)</f>
        <v>0.18933333333333333</v>
      </c>
    </row>
    <row r="45" spans="1:5" x14ac:dyDescent="0.3">
      <c r="A45" s="4">
        <v>3</v>
      </c>
      <c r="B45">
        <v>743</v>
      </c>
      <c r="C45">
        <v>125</v>
      </c>
      <c r="D45">
        <v>868</v>
      </c>
      <c r="E45" s="7">
        <f>GETPIVOTDATA("EmployeeNumber",$A$41,"Attrition","Yes","JobInvolvement",3)/GETPIVOTDATA("EmployeeNumber",$A$41,"JobInvolvement",3)</f>
        <v>0.14400921658986174</v>
      </c>
    </row>
    <row r="46" spans="1:5" x14ac:dyDescent="0.3">
      <c r="A46" s="4">
        <v>4</v>
      </c>
      <c r="B46">
        <v>131</v>
      </c>
      <c r="C46">
        <v>13</v>
      </c>
      <c r="D46">
        <v>144</v>
      </c>
      <c r="E46" s="7">
        <f>GETPIVOTDATA("EmployeeNumber",$A$41,"Attrition","Yes","JobInvolvement",4)/GETPIVOTDATA("EmployeeNumber",$A$41,"JobInvolvement",4)</f>
        <v>9.0277777777777776E-2</v>
      </c>
    </row>
    <row r="47" spans="1:5" x14ac:dyDescent="0.3">
      <c r="A47" s="4" t="s">
        <v>90</v>
      </c>
      <c r="B47">
        <v>1233</v>
      </c>
      <c r="C47">
        <v>237</v>
      </c>
      <c r="D47">
        <v>1470</v>
      </c>
      <c r="E47" s="8">
        <f>GETPIVOTDATA("EmployeeNumber",$A$41,"Attrition","Yes")/GETPIVOTDATA("EmployeeNumber",$A$41)</f>
        <v>0.16122448979591836</v>
      </c>
    </row>
    <row r="50" spans="1:5" x14ac:dyDescent="0.3">
      <c r="A50" s="15" t="s">
        <v>100</v>
      </c>
      <c r="B50" s="15"/>
      <c r="C50" s="15"/>
      <c r="D50" s="15"/>
      <c r="E50" s="15"/>
    </row>
    <row r="51" spans="1:5" x14ac:dyDescent="0.3">
      <c r="A51" s="15"/>
      <c r="B51" s="15"/>
      <c r="C51" s="15"/>
      <c r="D51" s="15"/>
      <c r="E51" s="15"/>
    </row>
    <row r="53" spans="1:5" x14ac:dyDescent="0.3">
      <c r="A53" s="3" t="s">
        <v>91</v>
      </c>
      <c r="B53" s="3" t="s">
        <v>1</v>
      </c>
      <c r="E53" s="5"/>
    </row>
    <row r="54" spans="1:5" x14ac:dyDescent="0.3">
      <c r="A54" s="3" t="s">
        <v>17</v>
      </c>
      <c r="B54" t="s">
        <v>43</v>
      </c>
      <c r="C54" t="s">
        <v>35</v>
      </c>
      <c r="D54" t="s">
        <v>90</v>
      </c>
      <c r="E54" s="6" t="s">
        <v>92</v>
      </c>
    </row>
    <row r="55" spans="1:5" x14ac:dyDescent="0.3">
      <c r="A55" s="4" t="s">
        <v>52</v>
      </c>
      <c r="B55">
        <v>294</v>
      </c>
      <c r="C55">
        <v>33</v>
      </c>
      <c r="D55">
        <v>327</v>
      </c>
      <c r="E55" s="7">
        <f>GETPIVOTDATA("EmployeeNumber",$A$53,"Attrition","Yes","MaritalStatus","Divorced")/GETPIVOTDATA("EmployeeNumber",$A$53,"MaritalStatus","Divorced")</f>
        <v>0.10091743119266056</v>
      </c>
    </row>
    <row r="56" spans="1:5" x14ac:dyDescent="0.3">
      <c r="A56" s="4" t="s">
        <v>48</v>
      </c>
      <c r="B56">
        <v>589</v>
      </c>
      <c r="C56">
        <v>84</v>
      </c>
      <c r="D56">
        <v>673</v>
      </c>
      <c r="E56" s="7">
        <f>GETPIVOTDATA("EmployeeNumber",$A$53,"Attrition","Yes","MaritalStatus","Married")/GETPIVOTDATA("EmployeeNumber",$A$53,"MaritalStatus","Married")</f>
        <v>0.12481426448736999</v>
      </c>
    </row>
    <row r="57" spans="1:5" x14ac:dyDescent="0.3">
      <c r="A57" s="4" t="s">
        <v>41</v>
      </c>
      <c r="B57">
        <v>350</v>
      </c>
      <c r="C57">
        <v>120</v>
      </c>
      <c r="D57">
        <v>470</v>
      </c>
      <c r="E57" s="7">
        <f>GETPIVOTDATA("EmployeeNumber",$A$53,"Attrition","Yes","MaritalStatus","Single")/GETPIVOTDATA("EmployeeNumber",$A$53,"MaritalStatus","Single")</f>
        <v>0.25531914893617019</v>
      </c>
    </row>
    <row r="58" spans="1:5" x14ac:dyDescent="0.3">
      <c r="A58" s="4" t="s">
        <v>90</v>
      </c>
      <c r="B58">
        <v>1233</v>
      </c>
      <c r="C58">
        <v>237</v>
      </c>
      <c r="D58">
        <v>1470</v>
      </c>
      <c r="E58" s="8">
        <f>GETPIVOTDATA("EmployeeNumber",$A$53,"Attrition","Yes")/GETPIVOTDATA("EmployeeNumber",$A$53)</f>
        <v>0.16122448979591836</v>
      </c>
    </row>
    <row r="61" spans="1:5" x14ac:dyDescent="0.3">
      <c r="A61" s="15" t="s">
        <v>101</v>
      </c>
      <c r="B61" s="15"/>
      <c r="C61" s="15"/>
      <c r="D61" s="15"/>
      <c r="E61" s="15"/>
    </row>
    <row r="62" spans="1:5" x14ac:dyDescent="0.3">
      <c r="A62" s="15"/>
      <c r="B62" s="15"/>
      <c r="C62" s="15"/>
      <c r="D62" s="15"/>
      <c r="E62" s="15"/>
    </row>
    <row r="64" spans="1:5" x14ac:dyDescent="0.3">
      <c r="A64" s="3" t="s">
        <v>91</v>
      </c>
      <c r="B64" s="3" t="s">
        <v>1</v>
      </c>
      <c r="E64" s="5"/>
    </row>
    <row r="65" spans="1:5" x14ac:dyDescent="0.3">
      <c r="A65" s="3" t="s">
        <v>29</v>
      </c>
      <c r="B65" t="s">
        <v>43</v>
      </c>
      <c r="C65" t="s">
        <v>35</v>
      </c>
      <c r="D65" t="s">
        <v>90</v>
      </c>
      <c r="E65" s="6" t="s">
        <v>92</v>
      </c>
    </row>
    <row r="66" spans="1:5" x14ac:dyDescent="0.3">
      <c r="A66" s="4">
        <v>0</v>
      </c>
      <c r="B66">
        <v>39</v>
      </c>
      <c r="C66">
        <v>15</v>
      </c>
      <c r="D66">
        <v>54</v>
      </c>
      <c r="E66" s="7">
        <f>GETPIVOTDATA("EmployeeNumber",$A$64,"Attrition","Yes","TrainingTimesLastYear",0)/GETPIVOTDATA("EmployeeNumber",$A$64,"TrainingTimesLastYear",0)</f>
        <v>0.27777777777777779</v>
      </c>
    </row>
    <row r="67" spans="1:5" x14ac:dyDescent="0.3">
      <c r="A67" s="4">
        <v>1</v>
      </c>
      <c r="B67">
        <v>62</v>
      </c>
      <c r="C67">
        <v>9</v>
      </c>
      <c r="D67">
        <v>71</v>
      </c>
      <c r="E67" s="7">
        <f>GETPIVOTDATA("EmployeeNumber",$A$64,"Attrition","Yes","TrainingTimesLastYear",1)/GETPIVOTDATA("EmployeeNumber",$A$64,"TrainingTimesLastYear",1)</f>
        <v>0.12676056338028169</v>
      </c>
    </row>
    <row r="68" spans="1:5" x14ac:dyDescent="0.3">
      <c r="A68" s="4">
        <v>2</v>
      </c>
      <c r="B68">
        <v>449</v>
      </c>
      <c r="C68">
        <v>98</v>
      </c>
      <c r="D68">
        <v>547</v>
      </c>
      <c r="E68" s="7">
        <f>GETPIVOTDATA("EmployeeNumber",$A$64,"Attrition","Yes","TrainingTimesLastYear",2)/GETPIVOTDATA("EmployeeNumber",$A$64,"TrainingTimesLastYear",2)</f>
        <v>0.17915904936014626</v>
      </c>
    </row>
    <row r="69" spans="1:5" x14ac:dyDescent="0.3">
      <c r="A69" s="4">
        <v>3</v>
      </c>
      <c r="B69">
        <v>422</v>
      </c>
      <c r="C69">
        <v>69</v>
      </c>
      <c r="D69">
        <v>491</v>
      </c>
      <c r="E69" s="7">
        <f>GETPIVOTDATA("EmployeeNumber",$A$64,"Attrition","Yes","TrainingTimesLastYear",3)/GETPIVOTDATA("EmployeeNumber",$A$64,"TrainingTimesLastYear",3)</f>
        <v>0.14052953156822812</v>
      </c>
    </row>
    <row r="70" spans="1:5" x14ac:dyDescent="0.3">
      <c r="A70" s="4">
        <v>4</v>
      </c>
      <c r="B70">
        <v>97</v>
      </c>
      <c r="C70">
        <v>26</v>
      </c>
      <c r="D70">
        <v>123</v>
      </c>
      <c r="E70" s="7">
        <f>GETPIVOTDATA("EmployeeNumber",$A$64,"Attrition","Yes","TrainingTimesLastYear",4)/GETPIVOTDATA("EmployeeNumber",$A$64,"TrainingTimesLastYear",4)</f>
        <v>0.21138211382113822</v>
      </c>
    </row>
    <row r="71" spans="1:5" x14ac:dyDescent="0.3">
      <c r="A71" s="4">
        <v>5</v>
      </c>
      <c r="B71">
        <v>105</v>
      </c>
      <c r="C71">
        <v>14</v>
      </c>
      <c r="D71">
        <v>119</v>
      </c>
      <c r="E71" s="7">
        <f>GETPIVOTDATA("EmployeeNumber",$A$64,"Attrition","Yes","TrainingTimesLastYear",5)/GETPIVOTDATA("EmployeeNumber",$A$64,"TrainingTimesLastYear",5)</f>
        <v>0.11764705882352941</v>
      </c>
    </row>
    <row r="72" spans="1:5" x14ac:dyDescent="0.3">
      <c r="A72" s="4">
        <v>6</v>
      </c>
      <c r="B72">
        <v>59</v>
      </c>
      <c r="C72">
        <v>6</v>
      </c>
      <c r="D72">
        <v>65</v>
      </c>
      <c r="E72" s="7">
        <f>GETPIVOTDATA("EmployeeNumber",$A$64,"Attrition","Yes","TrainingTimesLastYear",6)/GETPIVOTDATA("EmployeeNumber",$A$64,"TrainingTimesLastYear",6)</f>
        <v>9.2307692307692313E-2</v>
      </c>
    </row>
    <row r="73" spans="1:5" x14ac:dyDescent="0.3">
      <c r="A73" s="4" t="s">
        <v>90</v>
      </c>
      <c r="B73">
        <v>1233</v>
      </c>
      <c r="C73">
        <v>237</v>
      </c>
      <c r="D73">
        <v>1470</v>
      </c>
      <c r="E73" s="8">
        <f>GETPIVOTDATA("EmployeeNumber",$A$64,"Attrition","Yes")/GETPIVOTDATA("EmployeeNumber",$A$64)</f>
        <v>0.16122448979591836</v>
      </c>
    </row>
    <row r="76" spans="1:5" x14ac:dyDescent="0.3">
      <c r="A76" s="15" t="s">
        <v>103</v>
      </c>
      <c r="B76" s="15"/>
      <c r="C76" s="15"/>
      <c r="D76" s="15"/>
      <c r="E76" s="15"/>
    </row>
    <row r="77" spans="1:5" x14ac:dyDescent="0.3">
      <c r="A77" s="15"/>
      <c r="B77" s="15"/>
      <c r="C77" s="15"/>
      <c r="D77" s="15"/>
      <c r="E77" s="15"/>
    </row>
    <row r="79" spans="1:5" x14ac:dyDescent="0.3">
      <c r="A79" s="3" t="s">
        <v>91</v>
      </c>
      <c r="B79" s="3" t="s">
        <v>1</v>
      </c>
      <c r="E79" s="5"/>
    </row>
    <row r="80" spans="1:5" x14ac:dyDescent="0.3">
      <c r="A80" s="3" t="s">
        <v>27</v>
      </c>
      <c r="B80" t="s">
        <v>43</v>
      </c>
      <c r="C80" t="s">
        <v>35</v>
      </c>
      <c r="D80" t="s">
        <v>90</v>
      </c>
      <c r="E80" s="6" t="s">
        <v>92</v>
      </c>
    </row>
    <row r="81" spans="1:5" x14ac:dyDescent="0.3">
      <c r="A81" s="4">
        <v>0</v>
      </c>
      <c r="B81">
        <v>477</v>
      </c>
      <c r="C81">
        <v>154</v>
      </c>
      <c r="D81">
        <v>631</v>
      </c>
      <c r="E81" s="7">
        <f>GETPIVOTDATA("EmployeeNumber",$A$79,"Attrition","Yes","StockOptionLevel",0)/GETPIVOTDATA("EmployeeNumber",$A$79,"StockOptionLevel",0)</f>
        <v>0.24405705229793978</v>
      </c>
    </row>
    <row r="82" spans="1:5" x14ac:dyDescent="0.3">
      <c r="A82" s="4">
        <v>1</v>
      </c>
      <c r="B82">
        <v>540</v>
      </c>
      <c r="C82">
        <v>56</v>
      </c>
      <c r="D82">
        <v>596</v>
      </c>
      <c r="E82" s="7">
        <f>GETPIVOTDATA("EmployeeNumber",$A$79,"Attrition","Yes","StockOptionLevel",1)/GETPIVOTDATA("EmployeeNumber",$A$79,"StockOptionLevel",1)</f>
        <v>9.3959731543624164E-2</v>
      </c>
    </row>
    <row r="83" spans="1:5" x14ac:dyDescent="0.3">
      <c r="A83" s="4">
        <v>2</v>
      </c>
      <c r="B83">
        <v>146</v>
      </c>
      <c r="C83">
        <v>12</v>
      </c>
      <c r="D83">
        <v>158</v>
      </c>
      <c r="E83" s="7">
        <f>GETPIVOTDATA("EmployeeNumber",$A$79,"Attrition","Yes","StockOptionLevel",2)/GETPIVOTDATA("EmployeeNumber",$A$79,"StockOptionLevel",2)</f>
        <v>7.5949367088607597E-2</v>
      </c>
    </row>
    <row r="84" spans="1:5" x14ac:dyDescent="0.3">
      <c r="A84" s="4">
        <v>3</v>
      </c>
      <c r="B84">
        <v>70</v>
      </c>
      <c r="C84">
        <v>15</v>
      </c>
      <c r="D84">
        <v>85</v>
      </c>
      <c r="E84" s="7">
        <f>GETPIVOTDATA("EmployeeNumber",$A$79,"Attrition","Yes","StockOptionLevel",3)/GETPIVOTDATA("EmployeeNumber",$A$79,"StockOptionLevel",3)</f>
        <v>0.17647058823529413</v>
      </c>
    </row>
    <row r="85" spans="1:5" x14ac:dyDescent="0.3">
      <c r="A85" s="4" t="s">
        <v>90</v>
      </c>
      <c r="B85">
        <v>1233</v>
      </c>
      <c r="C85">
        <v>237</v>
      </c>
      <c r="D85">
        <v>1470</v>
      </c>
      <c r="E85" s="8">
        <f>GETPIVOTDATA("EmployeeNumber",$A$79,"Attrition","Yes")/GETPIVOTDATA("EmployeeNumber",$A$79)</f>
        <v>0.16122448979591836</v>
      </c>
    </row>
    <row r="88" spans="1:5" x14ac:dyDescent="0.3">
      <c r="A88" s="15" t="s">
        <v>105</v>
      </c>
      <c r="B88" s="15"/>
      <c r="C88" s="15"/>
      <c r="D88" s="15"/>
      <c r="E88" s="15"/>
    </row>
    <row r="89" spans="1:5" x14ac:dyDescent="0.3">
      <c r="A89" s="15"/>
      <c r="B89" s="15"/>
      <c r="C89" s="15"/>
      <c r="D89" s="15"/>
      <c r="E89" s="15"/>
    </row>
    <row r="91" spans="1:5" x14ac:dyDescent="0.3">
      <c r="A91" s="3" t="s">
        <v>2</v>
      </c>
      <c r="B91" t="s">
        <v>94</v>
      </c>
    </row>
    <row r="92" spans="1:5" x14ac:dyDescent="0.3">
      <c r="A92" s="4" t="s">
        <v>55</v>
      </c>
      <c r="B92" s="9">
        <v>2.7933333333333334</v>
      </c>
    </row>
    <row r="93" spans="1:5" x14ac:dyDescent="0.3">
      <c r="A93" s="4" t="s">
        <v>44</v>
      </c>
      <c r="B93" s="9">
        <v>2.7906137184115525</v>
      </c>
    </row>
    <row r="94" spans="1:5" x14ac:dyDescent="0.3">
      <c r="A94" s="4" t="s">
        <v>36</v>
      </c>
      <c r="B94" s="9">
        <v>2.7027804410354745</v>
      </c>
    </row>
    <row r="95" spans="1:5" x14ac:dyDescent="0.3">
      <c r="A95" s="4" t="s">
        <v>90</v>
      </c>
      <c r="B95" s="9">
        <v>2.7285714285714286</v>
      </c>
    </row>
  </sheetData>
  <mergeCells count="8">
    <mergeCell ref="A61:E62"/>
    <mergeCell ref="A76:E77"/>
    <mergeCell ref="A88:E89"/>
    <mergeCell ref="A1:E2"/>
    <mergeCell ref="A12:E13"/>
    <mergeCell ref="A28:E29"/>
    <mergeCell ref="A38:E39"/>
    <mergeCell ref="A50:E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D6A2-E7DD-43E2-B0E3-2D6ADFA879E1}">
  <dimension ref="A1:F107"/>
  <sheetViews>
    <sheetView workbookViewId="0">
      <selection activeCell="G2" sqref="G2"/>
    </sheetView>
  </sheetViews>
  <sheetFormatPr defaultRowHeight="14.4" x14ac:dyDescent="0.3"/>
  <cols>
    <col min="1" max="1" width="19.21875" bestFit="1" customWidth="1"/>
    <col min="2" max="2" width="23.44140625" bestFit="1" customWidth="1"/>
  </cols>
  <sheetData>
    <row r="1" spans="1:6" x14ac:dyDescent="0.3">
      <c r="A1" s="11" t="s">
        <v>96</v>
      </c>
      <c r="B1" s="11"/>
      <c r="C1" s="11"/>
      <c r="D1" s="11"/>
      <c r="E1" s="11"/>
      <c r="F1" s="11"/>
    </row>
    <row r="2" spans="1:6" ht="14.4" customHeight="1" x14ac:dyDescent="0.3">
      <c r="A2" s="11"/>
      <c r="B2" s="11"/>
      <c r="C2" s="11"/>
      <c r="D2" s="11"/>
      <c r="E2" s="11"/>
      <c r="F2" s="11"/>
    </row>
    <row r="21" spans="1:6" ht="14.4" customHeight="1" x14ac:dyDescent="0.3">
      <c r="A21" s="11" t="s">
        <v>97</v>
      </c>
      <c r="B21" s="11"/>
      <c r="C21" s="11"/>
      <c r="D21" s="11"/>
      <c r="E21" s="11"/>
      <c r="F21" s="11"/>
    </row>
    <row r="22" spans="1:6" ht="14.4" customHeight="1" x14ac:dyDescent="0.3">
      <c r="A22" s="11"/>
      <c r="B22" s="11"/>
      <c r="C22" s="11"/>
      <c r="D22" s="11"/>
      <c r="E22" s="11"/>
      <c r="F22" s="11"/>
    </row>
    <row r="24" spans="1:6" x14ac:dyDescent="0.3">
      <c r="A24" s="3" t="s">
        <v>24</v>
      </c>
      <c r="B24" t="s">
        <v>91</v>
      </c>
    </row>
    <row r="25" spans="1:6" x14ac:dyDescent="0.3">
      <c r="A25" s="4">
        <v>3</v>
      </c>
      <c r="B25">
        <v>1244</v>
      </c>
    </row>
    <row r="26" spans="1:6" x14ac:dyDescent="0.3">
      <c r="A26" s="4">
        <v>4</v>
      </c>
      <c r="B26">
        <v>226</v>
      </c>
    </row>
    <row r="27" spans="1:6" x14ac:dyDescent="0.3">
      <c r="A27" s="4" t="s">
        <v>90</v>
      </c>
      <c r="B27">
        <v>1470</v>
      </c>
    </row>
    <row r="46" spans="1:6" x14ac:dyDescent="0.3">
      <c r="A46" s="11" t="s">
        <v>99</v>
      </c>
      <c r="B46" s="11"/>
      <c r="C46" s="11"/>
      <c r="D46" s="11"/>
      <c r="E46" s="11"/>
      <c r="F46" s="11"/>
    </row>
    <row r="47" spans="1:6" x14ac:dyDescent="0.3">
      <c r="A47" s="11"/>
      <c r="B47" s="11"/>
      <c r="C47" s="11"/>
      <c r="D47" s="11"/>
      <c r="E47" s="11"/>
      <c r="F47" s="11"/>
    </row>
    <row r="66" spans="1:6" x14ac:dyDescent="0.3">
      <c r="A66" s="11" t="s">
        <v>102</v>
      </c>
      <c r="B66" s="11"/>
      <c r="C66" s="11"/>
      <c r="D66" s="11"/>
      <c r="E66" s="11"/>
      <c r="F66" s="11"/>
    </row>
    <row r="67" spans="1:6" x14ac:dyDescent="0.3">
      <c r="A67" s="11"/>
      <c r="B67" s="11"/>
      <c r="C67" s="11"/>
      <c r="D67" s="11"/>
      <c r="E67" s="11"/>
      <c r="F67" s="11"/>
    </row>
    <row r="86" spans="1:6" x14ac:dyDescent="0.3">
      <c r="A86" s="11" t="s">
        <v>104</v>
      </c>
      <c r="B86" s="11"/>
      <c r="C86" s="11"/>
      <c r="D86" s="11"/>
      <c r="E86" s="11"/>
      <c r="F86" s="11"/>
    </row>
    <row r="87" spans="1:6" x14ac:dyDescent="0.3">
      <c r="A87" s="11"/>
      <c r="B87" s="11"/>
      <c r="C87" s="11"/>
      <c r="D87" s="11"/>
      <c r="E87" s="11"/>
      <c r="F87" s="11"/>
    </row>
    <row r="106" spans="1:6" x14ac:dyDescent="0.3">
      <c r="A106" s="11" t="s">
        <v>106</v>
      </c>
      <c r="B106" s="11"/>
      <c r="C106" s="11"/>
      <c r="D106" s="11"/>
      <c r="E106" s="11"/>
      <c r="F106" s="11"/>
    </row>
    <row r="107" spans="1:6" x14ac:dyDescent="0.3">
      <c r="A107" s="11"/>
      <c r="B107" s="11"/>
      <c r="C107" s="11"/>
      <c r="D107" s="11"/>
      <c r="E107" s="11"/>
      <c r="F107" s="11"/>
    </row>
  </sheetData>
  <mergeCells count="6">
    <mergeCell ref="A46:F47"/>
    <mergeCell ref="A66:F67"/>
    <mergeCell ref="A86:F87"/>
    <mergeCell ref="A106:F107"/>
    <mergeCell ref="A1:F2"/>
    <mergeCell ref="A21:F2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Adecco HR Analytics</vt:lpstr>
      <vt:lpstr>Assignment Solutions</vt:lpstr>
      <vt:lpstr>Pivot Analysis</vt:lpstr>
      <vt:lpstr>Chart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kumar</dc:creator>
  <cp:lastModifiedBy>Raja kumar</cp:lastModifiedBy>
  <dcterms:created xsi:type="dcterms:W3CDTF">2026-10-06T17:50:33Z</dcterms:created>
  <dcterms:modified xsi:type="dcterms:W3CDTF">2026-10-07T08:40:30Z</dcterms:modified>
</cp:coreProperties>
</file>